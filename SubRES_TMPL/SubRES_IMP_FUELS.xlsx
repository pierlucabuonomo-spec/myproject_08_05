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" sheetId="1" state="visible" r:id="rId3"/>
    <sheet name="IMP_FUE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<sst xmlns="http://schemas.openxmlformats.org/spreadsheetml/2006/main" count="103" uniqueCount="62">
  <si>
    <t xml:space="preserve">Prezzi di import dei prodotti raffinati e periodi di disponibilità</t>
  </si>
  <si>
    <t xml:space="preserve">Foglio senza tag VEDA: non letto dal modello. Celle blu su fondo giallo = ipotesi da verificare.</t>
  </si>
  <si>
    <t xml:space="preserve">Voce</t>
  </si>
  <si>
    <t xml:space="preserve">Unità</t>
  </si>
  <si>
    <t xml:space="preserve">Prezzo greggio (IMP_CRUDE_OIL)</t>
  </si>
  <si>
    <t xml:space="preserve">€/GJ</t>
  </si>
  <si>
    <t xml:space="preserve">Fonte: VT_Model_SUP (2023) e Scen_FUEL_PRICE_PROJ_C1 (2025-2050)</t>
  </si>
  <si>
    <t xml:space="preserve">Margine di raffinazione e logistica sul greggio</t>
  </si>
  <si>
    <t xml:space="preserve">DIESEL</t>
  </si>
  <si>
    <t xml:space="preserve">GASOLINE</t>
  </si>
  <si>
    <t xml:space="preserve">OGL</t>
  </si>
  <si>
    <t xml:space="preserve">FUEL_OIL</t>
  </si>
  <si>
    <t xml:space="preserve">Valore indicativo (circa 25 $/bbl tra crack spread e logistica): sostituire con dati di mercato.</t>
  </si>
  <si>
    <t xml:space="preserve">Disponibilità import (1 = consentito, 0 = vietato)</t>
  </si>
  <si>
    <t xml:space="preserve">Tutti i prodotti</t>
  </si>
  <si>
    <t xml:space="preserve">-</t>
  </si>
  <si>
    <t xml:space="preserve">0 fino al 2040: import solo dopo la chiusura della raffineria. Mettere 1 per lasciarli in concorrenza con la raffineria.</t>
  </si>
  <si>
    <t xml:space="preserve">Limite massimo di import quando consentito</t>
  </si>
  <si>
    <t xml:space="preserve">PJ/a</t>
  </si>
  <si>
    <t xml:space="preserve">Import di prodotti petroliferi raffinati (dopo la chiusura della raffineria)</t>
  </si>
  <si>
    <t xml:space="preserve">~FI_T</t>
  </si>
  <si>
    <t xml:space="preserve">TechName</t>
  </si>
  <si>
    <t xml:space="preserve">*TechDesc</t>
  </si>
  <si>
    <t xml:space="preserve">Comm-OUT</t>
  </si>
  <si>
    <t xml:space="preserve">COST~2023</t>
  </si>
  <si>
    <t xml:space="preserve">COST~2025</t>
  </si>
  <si>
    <t xml:space="preserve">COST~2030</t>
  </si>
  <si>
    <t xml:space="preserve">COST~2035</t>
  </si>
  <si>
    <t xml:space="preserve">COST~2040</t>
  </si>
  <si>
    <t xml:space="preserve">COST~2045</t>
  </si>
  <si>
    <t xml:space="preserve">COST~2050</t>
  </si>
  <si>
    <t xml:space="preserve">ACT_BND~UP~2023</t>
  </si>
  <si>
    <t xml:space="preserve">ACT_BND~UP~2025</t>
  </si>
  <si>
    <t xml:space="preserve">ACT_BND~UP~2030</t>
  </si>
  <si>
    <t xml:space="preserve">ACT_BND~UP~2035</t>
  </si>
  <si>
    <t xml:space="preserve">ACT_BND~UP~2040</t>
  </si>
  <si>
    <t xml:space="preserve">ACT_BND~UP~2045</t>
  </si>
  <si>
    <t xml:space="preserve">ACT_BND~UP~2050</t>
  </si>
  <si>
    <t xml:space="preserve">\I: Technology Name</t>
  </si>
  <si>
    <t xml:space="preserve">IMP_DIESEL</t>
  </si>
  <si>
    <t xml:space="preserve">Import gasolio</t>
  </si>
  <si>
    <t xml:space="preserve">IMP_GASOLINE</t>
  </si>
  <si>
    <t xml:space="preserve">Import benzina</t>
  </si>
  <si>
    <t xml:space="preserve">IMP_OGL</t>
  </si>
  <si>
    <t xml:space="preserve">Import GPL</t>
  </si>
  <si>
    <t xml:space="preserve">IMP_FUEL_OIL</t>
  </si>
  <si>
    <t xml:space="preserve">Import olio combustibile</t>
  </si>
  <si>
    <t xml:space="preserve">~FI_Process</t>
  </si>
  <si>
    <t xml:space="preserve">Sets</t>
  </si>
  <si>
    <t xml:space="preserve">TechDesc</t>
  </si>
  <si>
    <t xml:space="preserve">Tact</t>
  </si>
  <si>
    <t xml:space="preserve">Tcap</t>
  </si>
  <si>
    <t xml:space="preserve">Tslvl</t>
  </si>
  <si>
    <t xml:space="preserve">PrimaryCG</t>
  </si>
  <si>
    <t xml:space="preserve">Vintage</t>
  </si>
  <si>
    <t xml:space="preserve">IMP</t>
  </si>
  <si>
    <t xml:space="preserve">PJ</t>
  </si>
  <si>
    <t xml:space="preserve">ANNUAL</t>
  </si>
  <si>
    <t xml:space="preserve">Note (non lette da VEDA)</t>
  </si>
  <si>
    <t xml:space="preserve">- Le commodity DIESEL, GASOLINE, OGL, FUEL_OIL sono già dichiarate nel SUP: qui non vanno ridichiarate.</t>
  </si>
  <si>
    <t xml:space="preserve">- ACT_BND è dato per tutti gli anni modello, così nessuna regola di estrapolazione può estendere lo 0 al 2045-2050.</t>
  </si>
  <si>
    <t xml:space="preserve">- Le emissioni di combustione restano sui processi DMD_FUEL_*; le emissioni di raffinazione dei prodotti importati avvengono fuori dalla Sardegna.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</si>
</sst>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8"/>
    <col collapsed="false" customWidth="true" hidden="false" outlineLevel="0" max="3" min="3" style="0" width="7"/>
    <col collapsed="false" customWidth="true" hidden="false" outlineLevel="0" max="10" min="4" style="0" width="9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n">
        <v>2023</v>
      </c>
      <c r="E5" s="3" t="n">
        <v>2025</v>
      </c>
      <c r="F5" s="3" t="n">
        <v>2030</v>
      </c>
      <c r="G5" s="3" t="n">
        <v>2035</v>
      </c>
      <c r="H5" s="3" t="n">
        <v>2040</v>
      </c>
      <c r="I5" s="3" t="n">
        <v>2045</v>
      </c>
      <c r="J5" s="3" t="n">
        <v>2050</v>
      </c>
    </row>
    <row r="6" customFormat="false" ht="15" hidden="false" customHeight="false" outlineLevel="0" collapsed="false">
      <c r="B6" s="0" t="s">
        <v>4</v>
      </c>
      <c r="C6" s="0" t="s">
        <v>5</v>
      </c>
      <c r="D6" s="4" t="n">
        <v>13.33</v>
      </c>
      <c r="E6" s="4" t="n">
        <v>15.2</v>
      </c>
      <c r="F6" s="4" t="n">
        <v>13.2</v>
      </c>
      <c r="G6" s="4" t="n">
        <v>13.2</v>
      </c>
      <c r="H6" s="4" t="n">
        <v>13.2</v>
      </c>
      <c r="I6" s="4" t="n">
        <v>13.2</v>
      </c>
      <c r="J6" s="4" t="n">
        <v>13.2</v>
      </c>
    </row>
    <row r="7" customFormat="false" ht="15" hidden="false" customHeight="false" outlineLevel="0" collapsed="false">
      <c r="B7" s="2" t="s">
        <v>6</v>
      </c>
    </row>
    <row r="9" customFormat="false" ht="15" hidden="false" customHeight="false" outlineLevel="0" collapsed="false">
      <c r="B9" s="5" t="s">
        <v>7</v>
      </c>
      <c r="C9" s="6" t="s">
        <v>5</v>
      </c>
    </row>
    <row r="10" customFormat="false" ht="15" hidden="false" customHeight="false" outlineLevel="0" collapsed="false">
      <c r="B10" s="0" t="s">
        <v>8</v>
      </c>
      <c r="C10" s="0" t="s">
        <v>5</v>
      </c>
      <c r="D10" s="7" t="n">
        <v>4</v>
      </c>
    </row>
    <row r="11" customFormat="false" ht="15" hidden="false" customHeight="false" outlineLevel="0" collapsed="false">
      <c r="B11" s="0" t="s">
        <v>9</v>
      </c>
      <c r="C11" s="0" t="s">
        <v>5</v>
      </c>
      <c r="D11" s="7" t="n">
        <v>4</v>
      </c>
    </row>
    <row r="12" customFormat="false" ht="15" hidden="false" customHeight="false" outlineLevel="0" collapsed="false">
      <c r="B12" s="0" t="s">
        <v>10</v>
      </c>
      <c r="C12" s="0" t="s">
        <v>5</v>
      </c>
      <c r="D12" s="7" t="n">
        <v>4</v>
      </c>
    </row>
    <row r="13" customFormat="false" ht="15" hidden="false" customHeight="false" outlineLevel="0" collapsed="false">
      <c r="B13" s="0" t="s">
        <v>11</v>
      </c>
      <c r="C13" s="0" t="s">
        <v>5</v>
      </c>
      <c r="D13" s="7" t="n">
        <v>4</v>
      </c>
    </row>
    <row r="14" customFormat="false" ht="15" hidden="false" customHeight="false" outlineLevel="0" collapsed="false">
      <c r="B14" s="2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0" t="s">
        <v>14</v>
      </c>
      <c r="C17" s="0" t="s">
        <v>15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1</v>
      </c>
      <c r="J17" s="7" t="n">
        <v>1</v>
      </c>
    </row>
    <row r="18" customFormat="false" ht="15" hidden="false" customHeight="false" outlineLevel="0" collapsed="false">
      <c r="B18" s="2" t="s">
        <v>16</v>
      </c>
    </row>
    <row r="20" customFormat="false" ht="15" hidden="false" customHeight="false" outlineLevel="0" collapsed="false">
      <c r="B20" s="5" t="s">
        <v>17</v>
      </c>
      <c r="C20" s="6" t="s">
        <v>18</v>
      </c>
      <c r="D20" s="4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18" min="4" style="0" width="11"/>
  </cols>
  <sheetData>
    <row r="2" customFormat="false" ht="15" hidden="false" customHeight="false" outlineLevel="0" collapsed="false">
      <c r="B2" s="1" t="s">
        <v>19</v>
      </c>
    </row>
    <row r="4" customFormat="false" ht="15" hidden="false" customHeight="false" outlineLevel="0" collapsed="false">
      <c r="B4" s="8" t="s">
        <v>20</v>
      </c>
    </row>
    <row r="5" customFormat="false" ht="15" hidden="false" customHeight="false" outlineLevel="0" collapsed="false"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3" t="s">
        <v>34</v>
      </c>
      <c r="P5" s="3" t="s">
        <v>35</v>
      </c>
      <c r="Q5" s="3" t="s">
        <v>36</v>
      </c>
      <c r="R5" s="3" t="s">
        <v>37</v>
      </c>
    </row>
    <row r="6" customFormat="false" ht="15" hidden="false" customHeight="false" outlineLevel="0" collapsed="false">
      <c r="B6" s="2" t="s">
        <v>38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  <c r="R6" s="2" t="s">
        <v>18</v>
      </c>
    </row>
    <row r="7" customFormat="false" ht="15" hidden="false" customHeight="false" outlineLevel="0" collapsed="false">
      <c r="B7" s="9" t="s">
        <v>39</v>
      </c>
      <c r="C7" s="9" t="s">
        <v>40</v>
      </c>
      <c r="D7" s="9" t="s">
        <v>8</v>
      </c>
      <c r="E7" s="10" t="n">
        <f aca="false">INPUT!D$6+INPUT!$D$10</f>
        <v>17.33</v>
      </c>
      <c r="F7" s="10" t="n">
        <f aca="false">INPUT!E$6+INPUT!$D$10</f>
        <v>19.2</v>
      </c>
      <c r="G7" s="10" t="n">
        <f aca="false">INPUT!F$6+INPUT!$D$10</f>
        <v>17.2</v>
      </c>
      <c r="H7" s="10" t="n">
        <f aca="false">INPUT!G$6+INPUT!$D$10</f>
        <v>17.2</v>
      </c>
      <c r="I7" s="10" t="n">
        <f aca="false">INPUT!H$6+INPUT!$D$10</f>
        <v>17.2</v>
      </c>
      <c r="J7" s="10" t="n">
        <f aca="false">INPUT!I$6+INPUT!$D$10</f>
        <v>17.2</v>
      </c>
      <c r="K7" s="10" t="n">
        <f aca="false">INPUT!J$6+INPUT!$D$10</f>
        <v>17.2</v>
      </c>
      <c r="L7" s="11" t="n">
        <f aca="false">INPUT!D$17*INPUT!$D$20</f>
        <v>0</v>
      </c>
      <c r="M7" s="11" t="n">
        <f aca="false">INPUT!E$17*INPUT!$D$20</f>
        <v>0</v>
      </c>
      <c r="N7" s="11" t="n">
        <f aca="false">INPUT!F$17*INPUT!$D$20</f>
        <v>0</v>
      </c>
      <c r="O7" s="11" t="n">
        <f aca="false">INPUT!G$17*INPUT!$D$20</f>
        <v>0</v>
      </c>
      <c r="P7" s="11" t="n">
        <f aca="false">INPUT!H$17*INPUT!$D$20</f>
        <v>0</v>
      </c>
      <c r="Q7" s="11" t="n">
        <f aca="false">INPUT!I$17*INPUT!$D$20</f>
        <v>100</v>
      </c>
      <c r="R7" s="11" t="n">
        <f aca="false">INPUT!J$17*INPUT!$D$20</f>
        <v>100</v>
      </c>
    </row>
    <row r="8" customFormat="false" ht="15" hidden="false" customHeight="false" outlineLevel="0" collapsed="false">
      <c r="B8" s="9" t="s">
        <v>41</v>
      </c>
      <c r="C8" s="9" t="s">
        <v>42</v>
      </c>
      <c r="D8" s="9" t="s">
        <v>9</v>
      </c>
      <c r="E8" s="10" t="n">
        <f aca="false">INPUT!D$6+INPUT!$D$11</f>
        <v>17.33</v>
      </c>
      <c r="F8" s="10" t="n">
        <f aca="false">INPUT!E$6+INPUT!$D$11</f>
        <v>19.2</v>
      </c>
      <c r="G8" s="10" t="n">
        <f aca="false">INPUT!F$6+INPUT!$D$11</f>
        <v>17.2</v>
      </c>
      <c r="H8" s="10" t="n">
        <f aca="false">INPUT!G$6+INPUT!$D$11</f>
        <v>17.2</v>
      </c>
      <c r="I8" s="10" t="n">
        <f aca="false">INPUT!H$6+INPUT!$D$11</f>
        <v>17.2</v>
      </c>
      <c r="J8" s="10" t="n">
        <f aca="false">INPUT!I$6+INPUT!$D$11</f>
        <v>17.2</v>
      </c>
      <c r="K8" s="10" t="n">
        <f aca="false">INPUT!J$6+INPUT!$D$11</f>
        <v>17.2</v>
      </c>
      <c r="L8" s="11" t="n">
        <f aca="false">INPUT!D$17*INPUT!$D$20</f>
        <v>0</v>
      </c>
      <c r="M8" s="11" t="n">
        <f aca="false">INPUT!E$17*INPUT!$D$20</f>
        <v>0</v>
      </c>
      <c r="N8" s="11" t="n">
        <f aca="false">INPUT!F$17*INPUT!$D$20</f>
        <v>0</v>
      </c>
      <c r="O8" s="11" t="n">
        <f aca="false">INPUT!G$17*INPUT!$D$20</f>
        <v>0</v>
      </c>
      <c r="P8" s="11" t="n">
        <f aca="false">INPUT!H$17*INPUT!$D$20</f>
        <v>0</v>
      </c>
      <c r="Q8" s="11" t="n">
        <f aca="false">INPUT!I$17*INPUT!$D$20</f>
        <v>100</v>
      </c>
      <c r="R8" s="11" t="n">
        <f aca="false">INPUT!J$17*INPUT!$D$20</f>
        <v>100</v>
      </c>
    </row>
    <row r="9" customFormat="false" ht="15" hidden="false" customHeight="false" outlineLevel="0" collapsed="false">
      <c r="B9" s="9" t="s">
        <v>43</v>
      </c>
      <c r="C9" s="9" t="s">
        <v>44</v>
      </c>
      <c r="D9" s="9" t="s">
        <v>10</v>
      </c>
      <c r="E9" s="10" t="n">
        <f aca="false">INPUT!D$6+INPUT!$D$12</f>
        <v>17.33</v>
      </c>
      <c r="F9" s="10" t="n">
        <f aca="false">INPUT!E$6+INPUT!$D$12</f>
        <v>19.2</v>
      </c>
      <c r="G9" s="10" t="n">
        <f aca="false">INPUT!F$6+INPUT!$D$12</f>
        <v>17.2</v>
      </c>
      <c r="H9" s="10" t="n">
        <f aca="false">INPUT!G$6+INPUT!$D$12</f>
        <v>17.2</v>
      </c>
      <c r="I9" s="10" t="n">
        <f aca="false">INPUT!H$6+INPUT!$D$12</f>
        <v>17.2</v>
      </c>
      <c r="J9" s="10" t="n">
        <f aca="false">INPUT!I$6+INPUT!$D$12</f>
        <v>17.2</v>
      </c>
      <c r="K9" s="10" t="n">
        <f aca="false">INPUT!J$6+INPUT!$D$12</f>
        <v>17.2</v>
      </c>
      <c r="L9" s="11" t="n">
        <f aca="false">INPUT!D$17*INPUT!$D$20</f>
        <v>0</v>
      </c>
      <c r="M9" s="11" t="n">
        <f aca="false">INPUT!E$17*INPUT!$D$20</f>
        <v>0</v>
      </c>
      <c r="N9" s="11" t="n">
        <f aca="false">INPUT!F$17*INPUT!$D$20</f>
        <v>0</v>
      </c>
      <c r="O9" s="11" t="n">
        <f aca="false">INPUT!G$17*INPUT!$D$20</f>
        <v>0</v>
      </c>
      <c r="P9" s="11" t="n">
        <f aca="false">INPUT!H$17*INPUT!$D$20</f>
        <v>0</v>
      </c>
      <c r="Q9" s="11" t="n">
        <f aca="false">INPUT!I$17*INPUT!$D$20</f>
        <v>100</v>
      </c>
      <c r="R9" s="11" t="n">
        <f aca="false">INPUT!J$17*INPUT!$D$20</f>
        <v>100</v>
      </c>
    </row>
    <row r="10" customFormat="false" ht="15" hidden="false" customHeight="false" outlineLevel="0" collapsed="false">
      <c r="B10" s="9" t="s">
        <v>45</v>
      </c>
      <c r="C10" s="9" t="s">
        <v>46</v>
      </c>
      <c r="D10" s="9" t="s">
        <v>11</v>
      </c>
      <c r="E10" s="10" t="n">
        <f aca="false">INPUT!D$6+INPUT!$D$13</f>
        <v>17.33</v>
      </c>
      <c r="F10" s="10" t="n">
        <f aca="false">INPUT!E$6+INPUT!$D$13</f>
        <v>19.2</v>
      </c>
      <c r="G10" s="10" t="n">
        <f aca="false">INPUT!F$6+INPUT!$D$13</f>
        <v>17.2</v>
      </c>
      <c r="H10" s="10" t="n">
        <f aca="false">INPUT!G$6+INPUT!$D$13</f>
        <v>17.2</v>
      </c>
      <c r="I10" s="10" t="n">
        <f aca="false">INPUT!H$6+INPUT!$D$13</f>
        <v>17.2</v>
      </c>
      <c r="J10" s="10" t="n">
        <f aca="false">INPUT!I$6+INPUT!$D$13</f>
        <v>17.2</v>
      </c>
      <c r="K10" s="10" t="n">
        <f aca="false">INPUT!J$6+INPUT!$D$13</f>
        <v>17.2</v>
      </c>
      <c r="L10" s="11" t="n">
        <f aca="false">INPUT!D$17*INPUT!$D$20</f>
        <v>0</v>
      </c>
      <c r="M10" s="11" t="n">
        <f aca="false">INPUT!E$17*INPUT!$D$20</f>
        <v>0</v>
      </c>
      <c r="N10" s="11" t="n">
        <f aca="false">INPUT!F$17*INPUT!$D$20</f>
        <v>0</v>
      </c>
      <c r="O10" s="11" t="n">
        <f aca="false">INPUT!G$17*INPUT!$D$20</f>
        <v>0</v>
      </c>
      <c r="P10" s="11" t="n">
        <f aca="false">INPUT!H$17*INPUT!$D$20</f>
        <v>0</v>
      </c>
      <c r="Q10" s="11" t="n">
        <f aca="false">INPUT!I$17*INPUT!$D$20</f>
        <v>100</v>
      </c>
      <c r="R10" s="11" t="n">
        <f aca="false">INPUT!J$17*INPUT!$D$20</f>
        <v>100</v>
      </c>
    </row>
    <row r="13" customFormat="false" ht="15" hidden="false" customHeight="false" outlineLevel="0" collapsed="false">
      <c r="B13" s="8" t="s">
        <v>47</v>
      </c>
    </row>
    <row r="14" customFormat="false" ht="15" hidden="false" customHeight="false" outlineLevel="0" collapsed="false">
      <c r="B14" s="3" t="s">
        <v>48</v>
      </c>
      <c r="C14" s="3" t="s">
        <v>21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</row>
    <row r="15" customFormat="false" ht="15" hidden="false" customHeight="false" outlineLevel="0" collapsed="false">
      <c r="B15" s="9" t="s">
        <v>55</v>
      </c>
      <c r="C15" s="9" t="s">
        <v>39</v>
      </c>
      <c r="D15" s="9" t="s">
        <v>40</v>
      </c>
      <c r="E15" s="9" t="s">
        <v>56</v>
      </c>
      <c r="F15" s="9"/>
      <c r="G15" s="9" t="s">
        <v>57</v>
      </c>
    </row>
    <row r="16" customFormat="false" ht="15" hidden="false" customHeight="false" outlineLevel="0" collapsed="false">
      <c r="B16" s="9" t="s">
        <v>55</v>
      </c>
      <c r="C16" s="9" t="s">
        <v>41</v>
      </c>
      <c r="D16" s="9" t="s">
        <v>42</v>
      </c>
      <c r="E16" s="9" t="s">
        <v>56</v>
      </c>
      <c r="F16" s="9"/>
      <c r="G16" s="9" t="s">
        <v>57</v>
      </c>
    </row>
    <row r="17" customFormat="false" ht="15" hidden="false" customHeight="false" outlineLevel="0" collapsed="false">
      <c r="B17" s="9" t="s">
        <v>55</v>
      </c>
      <c r="C17" s="9" t="s">
        <v>43</v>
      </c>
      <c r="D17" s="9" t="s">
        <v>44</v>
      </c>
      <c r="E17" s="9" t="s">
        <v>56</v>
      </c>
      <c r="F17" s="9"/>
      <c r="G17" s="9" t="s">
        <v>57</v>
      </c>
    </row>
    <row r="18" customFormat="false" ht="15" hidden="false" customHeight="false" outlineLevel="0" collapsed="false">
      <c r="B18" s="9" t="s">
        <v>55</v>
      </c>
      <c r="C18" s="9" t="s">
        <v>45</v>
      </c>
      <c r="D18" s="9" t="s">
        <v>46</v>
      </c>
      <c r="E18" s="9" t="s">
        <v>56</v>
      </c>
      <c r="F18" s="9"/>
      <c r="G18" s="9" t="s">
        <v>57</v>
      </c>
    </row>
    <row r="21" customFormat="false" ht="15" hidden="false" customHeight="false" outlineLevel="0" collapsed="false">
      <c r="B21" s="2" t="s">
        <v>58</v>
      </c>
    </row>
    <row r="22" customFormat="false" ht="15" hidden="false" customHeight="false" outlineLevel="0" collapsed="false">
      <c r="B22" s="2" t="s">
        <v>59</v>
      </c>
    </row>
    <row r="23" customFormat="false" ht="15" hidden="false" customHeight="false" outlineLevel="0" collapsed="false">
      <c r="B23" s="2" t="s">
        <v>60</v>
      </c>
    </row>
    <row r="24" customFormat="false" ht="15" hidden="false" customHeight="false" outlineLevel="0" collapsed="false">
      <c r="B24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2026-10-08T06:34:45Z</dcterms:created>
  <dc:creator>openpyxl</dc:creator>
  <dc:description/>
  <dc:language>en-US</dc:language>
  <cp:lastModifiedBy/>
  <dcterms:modified xsi:type="dcterms:W3CDTF">2026-10-08T06:34:45Z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