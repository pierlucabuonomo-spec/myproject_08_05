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8_{A2271E9B-3DBF-43C2-90CF-EF88196892EB}" xr6:coauthVersionLast="47" xr6:coauthVersionMax="47" xr10:uidLastSave="{00000000-0000-0000-0000-000000000000}"/>
  <bookViews>
    <workbookView xWindow="1170" yWindow="1170" windowWidth="40605" windowHeight="19110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6" i="1"/>
  <c r="L27" i="1"/>
  <c r="E27" i="1"/>
  <c r="D27" i="1"/>
  <c r="C27" i="1"/>
  <c r="B27" i="1"/>
  <c r="L26" i="1"/>
  <c r="E26" i="1"/>
  <c r="D26" i="1"/>
  <c r="C26" i="1"/>
  <c r="B26" i="1"/>
  <c r="U25" i="1"/>
  <c r="C24" i="1"/>
  <c r="B24" i="1"/>
  <c r="U23" i="1"/>
  <c r="C22" i="1"/>
  <c r="B22" i="1"/>
  <c r="U21" i="1"/>
  <c r="C20" i="1"/>
  <c r="B20" i="1"/>
  <c r="D19" i="1"/>
  <c r="C19" i="1"/>
  <c r="B19" i="1"/>
  <c r="L18" i="1"/>
  <c r="D18" i="1"/>
  <c r="C18" i="1"/>
  <c r="B18" i="1"/>
  <c r="L17" i="1"/>
  <c r="E17" i="1"/>
  <c r="E24" i="1" s="1"/>
  <c r="D17" i="1"/>
  <c r="C17" i="1"/>
  <c r="B17" i="1"/>
  <c r="L16" i="1"/>
  <c r="E16" i="1"/>
  <c r="E22" i="1" s="1"/>
  <c r="D16" i="1"/>
  <c r="C16" i="1"/>
  <c r="B16" i="1"/>
  <c r="E15" i="1"/>
  <c r="D20" i="1" s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C11" i="1"/>
  <c r="B11" i="1"/>
  <c r="D10" i="1"/>
  <c r="E9" i="1"/>
  <c r="D9" i="1"/>
  <c r="C9" i="1"/>
  <c r="B9" i="1"/>
  <c r="D8" i="1"/>
  <c r="E7" i="1"/>
  <c r="D7" i="1"/>
  <c r="D84" i="1" s="1"/>
  <c r="C7" i="1"/>
  <c r="B7" i="1"/>
  <c r="D24" i="1" l="1"/>
  <c r="D22" i="1"/>
  <c r="D15" i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33" authorId="1" shapeId="0" xr:uid="{00000000-0006-0000-0000-000002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33" authorId="1" shapeId="0" xr:uid="{00000000-0006-0000-0000-000003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33" authorId="1" shapeId="0" xr:uid="{00000000-0006-0000-0000-000004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33" authorId="1" shapeId="0" xr:uid="{00000000-0006-0000-0000-000005000000}">
      <text>
        <r>
          <rPr>
            <sz val="10"/>
            <rFont val="Arial"/>
            <family val="2"/>
          </rPr>
          <t>Possible Ctype
ELC (Electricity)</t>
        </r>
      </text>
    </comment>
    <comment ref="G56" authorId="1" shapeId="0" xr:uid="{00000000-0006-0000-0000-000006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56" authorId="1" shapeId="0" xr:uid="{00000000-0006-0000-0000-000007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57" authorId="1" shapeId="0" xr:uid="{00000000-0006-0000-0000-000008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<sst xmlns="http://schemas.openxmlformats.org/spreadsheetml/2006/main" count="351" uniqueCount="162">
  <si>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</si>
  <si>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</si>
  <si>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</si>
  <si>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</si>
  <si>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</si>
  <si>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</si>
  <si>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</si>
  <si>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</si>
  <si>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</si>
  <si>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</si>
  <si>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</si>
  <si>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</si>
  <si>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</si>
  <si>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</si>
  <si>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</si>
  <si>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</si>
  <si>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</si>
  <si>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</si>
  <si>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</si>
  <si>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</si>
  <si>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</si>
  <si>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</si>
  <si>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</si>
  <si>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</si>
  <si>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</si>
  <si>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</si>
  <si>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</si>
  <si>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</si>
  <si>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</si>
  <si>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</si>
  <si>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</si>
  <si>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</si>
  <si>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</si>
  <si>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</si>
  <si>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</si>
  <si>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</si>
  <si>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</si>
  <si>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</si>
  <si>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</si>
  <si>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</si>
  <si>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</si>
  <si>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</si>
  <si>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</si>
  <si>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</si>
  <si>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</si>
  <si>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</si>
  <si>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</si>
  <si>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</si>
  <si>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</si>
  <si>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</si>
  <si>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</si>
  <si>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</si>
  <si>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</si>
  <si>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</si>
  <si>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</si>
  <si>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</si>
  <si>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</si>
  <si>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</si>
  <si>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</si>
  <si>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</si>
  <si>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</si>
  <si>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</si>
  <si>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</si>
  <si>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</si>
  <si>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</si>
  <si>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ELEC_LV</t>
  </si>
  <si>
    <t>Low Voltage Electricity (&lt; 1kV)</t>
  </si>
  <si>
    <t>WIND-ON</t>
  </si>
  <si>
    <t>Onshore Wind Energy</t>
  </si>
  <si>
    <t>NLG</t>
  </si>
  <si>
    <t>Natural Liquid Gas</t>
  </si>
  <si>
    <t>BIOMASS</t>
  </si>
  <si>
    <t>Biomass</t>
  </si>
  <si>
    <t>HIDRO_STG_PUMP</t>
  </si>
  <si>
    <t>Hidro storage pump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</si>
  <si>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</si>
  <si>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</si>
  <si>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</si>
  <si>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</si>
  <si>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</si>
  <si>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</si>
  <si>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</si>
  <si>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</si>
  <si>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</si>
  <si>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</si>
  <si>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</si>
  <si>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</si>
  <si>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</si>
  <si>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</si>
  <si>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</si>
  <si>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</si>
  <si>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</si>
  <si>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</si>
  <si>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</si>
  <si>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</si>
  <si>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</si>
  <si>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</si>
  <si>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ELE_NEW_NAT_GAS_CCGT</t>
  </si>
  <si>
    <t>Natural Gas Combined Cycle Gas Turbine</t>
  </si>
  <si>
    <t>GW</t>
  </si>
  <si>
    <t>DAYNITE</t>
  </si>
  <si>
    <t>ELE_NEW_NAT_GAS_CCGT_CCS</t>
  </si>
  <si>
    <t>Natural Gas Combined Cycle Gas Turbine + Carbon Capture &amp; Storage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</si>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</sst>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80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1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3" fontId="6" fillId="9" borderId="0" xfId="0" applyNumberFormat="1" applyFont="1" applyFill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0" fontId="6" fillId="0" borderId="0" xfId="1" applyFont="1" applyAlignment="1">
      <alignment horizontal="left" wrapText="1"/>
    </xf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zoomScale="79" zoomScaleNormal="119" workbookViewId="0">
      <selection activeCell="D12" sqref="D12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9"/>
      <c r="M1" s="79"/>
      <c r="N1" s="79"/>
      <c r="O1" s="79"/>
    </row>
    <row r="2" spans="1:22" ht="17.25" customHeight="1" x14ac:dyDescent="0.25">
      <c r="B2" s="7" t="s">
        <v>0</v>
      </c>
      <c r="L2" s="79"/>
      <c r="M2" s="79"/>
      <c r="N2" s="79"/>
      <c r="O2" s="79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9" t="s">
        <v>17</v>
      </c>
      <c r="R5" s="59" t="s">
        <v>18</v>
      </c>
      <c r="S5" s="59" t="s">
        <v>19</v>
      </c>
      <c r="T5" s="75" t="s">
        <v>20</v>
      </c>
      <c r="U5" s="76" t="s">
        <v>21</v>
      </c>
      <c r="V5" s="76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5" t="s">
        <v>35</v>
      </c>
      <c r="Q6" s="25"/>
      <c r="R6" s="25"/>
      <c r="S6" s="25"/>
      <c r="T6" s="77"/>
      <c r="U6" s="77"/>
      <c r="V6" s="77" t="s">
        <v>36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tr">
        <f>[2]SEC_Comm!$C$7</f>
        <v>ELEC_HV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tr">
        <f>[2]SEC_Comm!$C$7</f>
        <v>ELEC_HV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">
        <v>37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tr">
        <f>[2]SEC_Comm!$C$7</f>
        <v>ELEC_HV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2">
      <c r="B15" s="35" t="str">
        <f>C60</f>
        <v>STG_NEW_HIDRO_STORAGE_PUMP</v>
      </c>
      <c r="C15" s="35" t="str">
        <f>D60</f>
        <v>Hidro Storage Pump</v>
      </c>
      <c r="D15" s="36" t="str">
        <f>E15</f>
        <v>ELEC_HV</v>
      </c>
      <c r="E15" s="16" t="str">
        <f>[2]SEC_Comm!$C$7</f>
        <v>ELEC_HV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2">
      <c r="B16" s="22" t="str">
        <f t="shared" ref="B16:C19" si="1">C65</f>
        <v>ELE_NEW_WIND-ON</v>
      </c>
      <c r="C16" s="22" t="str">
        <f t="shared" si="1"/>
        <v>Wind Onshore</v>
      </c>
      <c r="D16" s="18" t="str">
        <f>C106</f>
        <v>WIND-ON</v>
      </c>
      <c r="E16" s="50" t="str">
        <f>[2]SEC_Comm!$C$7</f>
        <v>ELEC_HV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2">
      <c r="B17" s="14" t="str">
        <f t="shared" si="1"/>
        <v>ELE_NEW_PV</v>
      </c>
      <c r="C17" s="14" t="str">
        <f t="shared" si="1"/>
        <v>Photovoltaics Ground</v>
      </c>
      <c r="D17" s="16" t="str">
        <f>C107</f>
        <v>SOLAR</v>
      </c>
      <c r="E17" s="16" t="str">
        <f>[2]SEC_Comm!$C$7</f>
        <v>ELEC_HV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>K17</f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2">
      <c r="B18" s="22" t="str">
        <f t="shared" si="1"/>
        <v>ELE_NEW_AUTOPR_PV</v>
      </c>
      <c r="C18" s="22" t="str">
        <f t="shared" si="1"/>
        <v>Photovoltaics Roof</v>
      </c>
      <c r="D18" s="18" t="str">
        <f>C107</f>
        <v>SOLAR</v>
      </c>
      <c r="E18" s="22" t="s">
        <v>37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>K18</f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2">
      <c r="B19" s="22" t="str">
        <f t="shared" si="1"/>
        <v>ELE_NEW_AUTOPR_PV_RES</v>
      </c>
      <c r="C19" s="22" t="str">
        <f t="shared" si="1"/>
        <v>Photovoltaics Roof</v>
      </c>
      <c r="D19" s="18" t="str">
        <f>C107</f>
        <v>SOLAR</v>
      </c>
      <c r="E19" s="18" t="s">
        <v>38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tr">
        <f>E15</f>
        <v>ELEC_HV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39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40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>E16</f>
        <v>ELEC_HV</v>
      </c>
      <c r="E22" s="18" t="str">
        <f>E16</f>
        <v>ELEC_HV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39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40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>D74</f>
        <v>Electricity Storage</v>
      </c>
      <c r="D24" s="36" t="str">
        <f>E17</f>
        <v>ELEC_HV</v>
      </c>
      <c r="E24" s="36" t="str">
        <f>E17</f>
        <v>ELEC_HV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39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40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>C69</f>
        <v>ELE_NEW_BIOGAS-AGR</v>
      </c>
      <c r="C26" s="34" t="str">
        <f>D69</f>
        <v>Biogas Agricultural</v>
      </c>
      <c r="D26" s="34" t="str">
        <f>C39</f>
        <v>BIOGAS</v>
      </c>
      <c r="E26" s="34" t="str">
        <f>[2]SEC_Comm!$C$7</f>
        <v>ELEC_HV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>K26</f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25">
      <c r="B27" s="68" t="str">
        <f>C70</f>
        <v>ELE_NEW_BIOMASS</v>
      </c>
      <c r="C27" s="68" t="str">
        <f>D70</f>
        <v>Biomass</v>
      </c>
      <c r="D27" s="73" t="str">
        <f>C100</f>
        <v>BIOMASS</v>
      </c>
      <c r="E27" s="68" t="str">
        <f>[2]SEC_Comm!$C$7</f>
        <v>ELEC_HV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>K27</f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2">
      <c r="B29" s="67"/>
    </row>
    <row r="30" spans="2:22" ht="17.25" customHeight="1" x14ac:dyDescent="0.25">
      <c r="B30" s="7" t="s">
        <v>41</v>
      </c>
      <c r="C30" s="7"/>
      <c r="D30" s="7"/>
    </row>
    <row r="32" spans="2:22" ht="18.75" customHeight="1" thickBot="1" x14ac:dyDescent="0.3">
      <c r="B32" s="13" t="s">
        <v>42</v>
      </c>
      <c r="C32" s="13"/>
      <c r="D32" s="13"/>
      <c r="E32" s="13"/>
      <c r="F32" s="13"/>
      <c r="G32" s="13"/>
      <c r="H32" s="13"/>
      <c r="I32" s="13"/>
    </row>
    <row r="33" spans="2:9" ht="13.5" customHeight="1" thickBot="1" x14ac:dyDescent="0.25">
      <c r="B33" s="3" t="s">
        <v>43</v>
      </c>
      <c r="C33" s="3" t="s">
        <v>44</v>
      </c>
      <c r="D33" s="3" t="s">
        <v>45</v>
      </c>
      <c r="E33" s="3" t="s">
        <v>46</v>
      </c>
      <c r="F33" s="3" t="s">
        <v>47</v>
      </c>
      <c r="G33" s="3" t="s">
        <v>48</v>
      </c>
      <c r="H33" s="3" t="s">
        <v>49</v>
      </c>
      <c r="I33" s="3" t="s">
        <v>50</v>
      </c>
    </row>
    <row r="34" spans="2:9" ht="38.65" customHeight="1" thickBot="1" x14ac:dyDescent="0.25">
      <c r="B34" s="2" t="s">
        <v>51</v>
      </c>
      <c r="C34" s="2" t="s">
        <v>52</v>
      </c>
      <c r="D34" s="2" t="s">
        <v>53</v>
      </c>
      <c r="E34" s="2" t="s">
        <v>46</v>
      </c>
      <c r="F34" s="2" t="s">
        <v>54</v>
      </c>
      <c r="G34" s="2" t="s">
        <v>55</v>
      </c>
      <c r="H34" s="2" t="s">
        <v>56</v>
      </c>
      <c r="I34" s="2" t="s">
        <v>57</v>
      </c>
    </row>
    <row r="35" spans="2:9" ht="18.75" customHeight="1" x14ac:dyDescent="0.2">
      <c r="B35" s="57" t="s">
        <v>39</v>
      </c>
      <c r="C35" s="34" t="s">
        <v>58</v>
      </c>
      <c r="D35" s="57" t="s">
        <v>59</v>
      </c>
      <c r="E35" s="57" t="s">
        <v>60</v>
      </c>
      <c r="F35" s="39"/>
      <c r="G35" s="39"/>
      <c r="H35" s="39"/>
      <c r="I35" s="39"/>
    </row>
    <row r="36" spans="2:9" ht="18.75" customHeight="1" x14ac:dyDescent="0.2">
      <c r="B36" s="78" t="s">
        <v>39</v>
      </c>
      <c r="C36" s="78" t="s">
        <v>61</v>
      </c>
      <c r="D36" s="78" t="s">
        <v>62</v>
      </c>
      <c r="E36" s="78" t="s">
        <v>60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39</v>
      </c>
      <c r="C39" s="57" t="s">
        <v>63</v>
      </c>
      <c r="D39" s="56" t="s">
        <v>64</v>
      </c>
      <c r="E39" s="57" t="s">
        <v>60</v>
      </c>
    </row>
    <row r="40" spans="2:9" ht="18.75" customHeight="1" x14ac:dyDescent="0.2">
      <c r="B40" s="41" t="s">
        <v>39</v>
      </c>
      <c r="C40" s="41" t="s">
        <v>65</v>
      </c>
      <c r="D40" s="41" t="s">
        <v>66</v>
      </c>
      <c r="E40" s="53" t="s">
        <v>60</v>
      </c>
      <c r="F40" s="39"/>
      <c r="G40" s="39"/>
      <c r="H40" s="39"/>
      <c r="I40" s="39"/>
    </row>
    <row r="41" spans="2:9" ht="18.75" customHeight="1" x14ac:dyDescent="0.2">
      <c r="B41" s="42" t="s">
        <v>39</v>
      </c>
      <c r="C41" s="43" t="s">
        <v>67</v>
      </c>
      <c r="D41" s="42" t="s">
        <v>68</v>
      </c>
      <c r="E41" s="53" t="s">
        <v>60</v>
      </c>
      <c r="F41" s="53"/>
      <c r="G41" s="53"/>
      <c r="H41" s="53"/>
      <c r="I41" s="53"/>
    </row>
    <row r="42" spans="2:9" ht="18.75" customHeight="1" x14ac:dyDescent="0.2">
      <c r="B42" s="42" t="s">
        <v>39</v>
      </c>
      <c r="C42" s="43" t="s">
        <v>69</v>
      </c>
      <c r="D42" s="42" t="s">
        <v>70</v>
      </c>
      <c r="E42" s="53" t="s">
        <v>60</v>
      </c>
      <c r="F42" s="39"/>
      <c r="G42" s="39"/>
      <c r="H42" s="39"/>
      <c r="I42" s="39"/>
    </row>
    <row r="43" spans="2:9" ht="18.75" customHeight="1" x14ac:dyDescent="0.2">
      <c r="B43" s="39" t="s">
        <v>39</v>
      </c>
      <c r="C43" s="10" t="s">
        <v>71</v>
      </c>
      <c r="D43" s="9" t="s">
        <v>72</v>
      </c>
      <c r="E43" s="39" t="s">
        <v>60</v>
      </c>
      <c r="F43" s="53"/>
      <c r="G43" s="53"/>
      <c r="H43" s="53"/>
      <c r="I43" s="53"/>
    </row>
    <row r="44" spans="2:9" ht="18.75" customHeight="1" x14ac:dyDescent="0.2">
      <c r="B44" s="47" t="s">
        <v>39</v>
      </c>
      <c r="C44" s="46" t="s">
        <v>73</v>
      </c>
      <c r="D44" s="47" t="s">
        <v>74</v>
      </c>
      <c r="E44" s="53" t="s">
        <v>60</v>
      </c>
      <c r="F44" s="52"/>
      <c r="G44" s="52"/>
      <c r="H44" s="52"/>
      <c r="I44" s="52"/>
    </row>
    <row r="45" spans="2:9" ht="18.75" customHeight="1" x14ac:dyDescent="0.2">
      <c r="B45" s="9" t="s">
        <v>39</v>
      </c>
      <c r="C45" s="10" t="s">
        <v>75</v>
      </c>
      <c r="D45" s="9" t="s">
        <v>76</v>
      </c>
      <c r="E45" s="39" t="s">
        <v>60</v>
      </c>
    </row>
    <row r="46" spans="2:9" ht="18.75" customHeight="1" x14ac:dyDescent="0.2">
      <c r="B46" s="41" t="s">
        <v>39</v>
      </c>
      <c r="C46" s="41" t="s">
        <v>77</v>
      </c>
      <c r="D46" s="41" t="s">
        <v>78</v>
      </c>
      <c r="E46" s="53" t="s">
        <v>60</v>
      </c>
      <c r="F46" s="52"/>
      <c r="G46" s="52"/>
      <c r="H46" s="52"/>
      <c r="I46" s="52"/>
    </row>
    <row r="47" spans="2:9" ht="18.75" customHeight="1" x14ac:dyDescent="0.2">
      <c r="B47" s="48" t="s">
        <v>39</v>
      </c>
      <c r="C47" s="48" t="s">
        <v>79</v>
      </c>
      <c r="D47" s="48" t="s">
        <v>80</v>
      </c>
      <c r="E47" s="39" t="s">
        <v>60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7.25" customHeight="1" x14ac:dyDescent="0.25">
      <c r="B52" s="8" t="s">
        <v>81</v>
      </c>
      <c r="C52" s="7"/>
      <c r="D52" s="7"/>
    </row>
    <row r="53" spans="2:9" ht="13.15" customHeight="1" x14ac:dyDescent="0.2">
      <c r="B53" s="4"/>
      <c r="C53" s="4"/>
    </row>
    <row r="55" spans="2:9" ht="15" customHeight="1" thickBot="1" x14ac:dyDescent="0.3">
      <c r="B55" s="13" t="s">
        <v>82</v>
      </c>
      <c r="C55" s="13"/>
      <c r="D55" s="13"/>
      <c r="E55" s="13"/>
      <c r="F55" s="13"/>
      <c r="G55" s="13"/>
      <c r="H55" s="13"/>
      <c r="I55" s="13"/>
    </row>
    <row r="56" spans="2:9" ht="13.5" customHeight="1" thickBot="1" x14ac:dyDescent="0.25">
      <c r="B56" s="3" t="s">
        <v>83</v>
      </c>
      <c r="C56" s="3" t="s">
        <v>2</v>
      </c>
      <c r="D56" s="3" t="s">
        <v>84</v>
      </c>
      <c r="E56" s="3" t="s">
        <v>85</v>
      </c>
      <c r="F56" s="3" t="s">
        <v>86</v>
      </c>
      <c r="G56" s="3" t="s">
        <v>87</v>
      </c>
      <c r="H56" s="3" t="s">
        <v>88</v>
      </c>
      <c r="I56" s="3" t="s">
        <v>89</v>
      </c>
    </row>
    <row r="57" spans="2:9" ht="18.75" customHeight="1" thickBot="1" x14ac:dyDescent="0.25">
      <c r="B57" s="2" t="s">
        <v>90</v>
      </c>
      <c r="C57" s="2" t="s">
        <v>91</v>
      </c>
      <c r="D57" s="2" t="s">
        <v>24</v>
      </c>
      <c r="E57" s="2" t="s">
        <v>92</v>
      </c>
      <c r="F57" s="2" t="s">
        <v>93</v>
      </c>
      <c r="G57" s="2" t="s">
        <v>55</v>
      </c>
      <c r="H57" s="2" t="s">
        <v>94</v>
      </c>
      <c r="I57" s="2" t="s">
        <v>95</v>
      </c>
    </row>
    <row r="58" spans="2:9" ht="18.95" customHeight="1" x14ac:dyDescent="0.2">
      <c r="B58" s="14" t="s">
        <v>96</v>
      </c>
      <c r="C58" s="14" t="s">
        <v>97</v>
      </c>
      <c r="D58" s="14" t="s">
        <v>98</v>
      </c>
      <c r="E58" s="14" t="s">
        <v>60</v>
      </c>
      <c r="F58" s="14" t="s">
        <v>99</v>
      </c>
      <c r="G58" s="14" t="s">
        <v>100</v>
      </c>
      <c r="H58" s="14"/>
      <c r="I58" s="14"/>
    </row>
    <row r="59" spans="2:9" ht="18.95" customHeight="1" x14ac:dyDescent="0.2">
      <c r="B59" s="22" t="s">
        <v>96</v>
      </c>
      <c r="C59" s="22" t="s">
        <v>101</v>
      </c>
      <c r="D59" s="22" t="s">
        <v>102</v>
      </c>
      <c r="E59" s="22" t="s">
        <v>60</v>
      </c>
      <c r="F59" s="22" t="s">
        <v>99</v>
      </c>
      <c r="G59" s="22" t="s">
        <v>100</v>
      </c>
      <c r="H59" s="22"/>
      <c r="I59" s="22"/>
    </row>
    <row r="60" spans="2:9" ht="18.95" customHeight="1" x14ac:dyDescent="0.2">
      <c r="B60" s="35" t="s">
        <v>103</v>
      </c>
      <c r="C60" s="35" t="s">
        <v>104</v>
      </c>
      <c r="D60" s="35" t="s">
        <v>105</v>
      </c>
      <c r="E60" s="35" t="s">
        <v>60</v>
      </c>
      <c r="F60" s="35" t="s">
        <v>99</v>
      </c>
      <c r="G60" s="35" t="s">
        <v>100</v>
      </c>
      <c r="H60" s="35"/>
      <c r="I60" s="35"/>
    </row>
    <row r="61" spans="2:9" ht="18.95" customHeight="1" x14ac:dyDescent="0.2">
      <c r="B61" s="66" t="s">
        <v>106</v>
      </c>
      <c r="C61" s="34" t="s">
        <v>107</v>
      </c>
      <c r="D61" s="34" t="s">
        <v>108</v>
      </c>
      <c r="E61" s="34" t="s">
        <v>60</v>
      </c>
      <c r="F61" s="34" t="s">
        <v>99</v>
      </c>
      <c r="G61" s="34" t="s">
        <v>100</v>
      </c>
      <c r="H61" s="34"/>
      <c r="I61" s="34"/>
    </row>
    <row r="62" spans="2:9" ht="18.95" customHeight="1" x14ac:dyDescent="0.2">
      <c r="B62" s="60" t="s">
        <v>103</v>
      </c>
      <c r="C62" s="35" t="s">
        <v>109</v>
      </c>
      <c r="D62" s="35" t="s">
        <v>110</v>
      </c>
      <c r="E62" s="35" t="s">
        <v>60</v>
      </c>
      <c r="F62" s="35" t="s">
        <v>99</v>
      </c>
      <c r="G62" s="35" t="s">
        <v>100</v>
      </c>
      <c r="H62" s="35"/>
      <c r="I62" s="35"/>
    </row>
    <row r="63" spans="2:9" ht="18.95" customHeight="1" x14ac:dyDescent="0.2">
      <c r="B63" s="66" t="s">
        <v>96</v>
      </c>
      <c r="C63" s="34" t="s">
        <v>111</v>
      </c>
      <c r="D63" s="34" t="s">
        <v>112</v>
      </c>
      <c r="E63" s="34" t="s">
        <v>60</v>
      </c>
      <c r="F63" s="34" t="s">
        <v>99</v>
      </c>
      <c r="G63" s="34" t="s">
        <v>100</v>
      </c>
      <c r="H63" s="34"/>
      <c r="I63" s="34"/>
    </row>
    <row r="64" spans="2:9" ht="18.95" customHeight="1" x14ac:dyDescent="0.2">
      <c r="B64" s="60" t="s">
        <v>39</v>
      </c>
      <c r="C64" s="35" t="s">
        <v>113</v>
      </c>
      <c r="D64" s="35" t="s">
        <v>114</v>
      </c>
      <c r="E64" s="35" t="s">
        <v>60</v>
      </c>
      <c r="F64" s="35" t="s">
        <v>99</v>
      </c>
      <c r="G64" s="35" t="s">
        <v>100</v>
      </c>
      <c r="H64" s="35"/>
      <c r="I64" s="35"/>
    </row>
    <row r="65" spans="2:13" ht="18.75" customHeight="1" x14ac:dyDescent="0.2">
      <c r="B65" s="22" t="s">
        <v>96</v>
      </c>
      <c r="C65" s="22" t="s">
        <v>115</v>
      </c>
      <c r="D65" s="22" t="s">
        <v>116</v>
      </c>
      <c r="E65" s="22" t="s">
        <v>60</v>
      </c>
      <c r="F65" s="22" t="s">
        <v>99</v>
      </c>
      <c r="G65" s="22" t="s">
        <v>100</v>
      </c>
      <c r="H65" s="22"/>
      <c r="I65" s="22"/>
    </row>
    <row r="66" spans="2:13" ht="18.75" customHeight="1" x14ac:dyDescent="0.2">
      <c r="B66" s="14" t="s">
        <v>96</v>
      </c>
      <c r="C66" s="14" t="s">
        <v>117</v>
      </c>
      <c r="D66" s="14" t="s">
        <v>118</v>
      </c>
      <c r="E66" s="14" t="s">
        <v>60</v>
      </c>
      <c r="F66" s="14" t="s">
        <v>99</v>
      </c>
      <c r="G66" s="14" t="s">
        <v>100</v>
      </c>
      <c r="H66" s="14"/>
      <c r="I66" s="14"/>
    </row>
    <row r="67" spans="2:13" ht="18.75" customHeight="1" x14ac:dyDescent="0.2">
      <c r="B67" s="22" t="s">
        <v>96</v>
      </c>
      <c r="C67" s="22" t="s">
        <v>119</v>
      </c>
      <c r="D67" s="22" t="s">
        <v>120</v>
      </c>
      <c r="E67" s="22" t="s">
        <v>60</v>
      </c>
      <c r="F67" s="22" t="s">
        <v>99</v>
      </c>
      <c r="G67" s="22" t="s">
        <v>100</v>
      </c>
      <c r="H67" s="22"/>
      <c r="I67" s="22"/>
    </row>
    <row r="68" spans="2:13" ht="18.75" customHeight="1" x14ac:dyDescent="0.2">
      <c r="B68" s="22" t="s">
        <v>96</v>
      </c>
      <c r="C68" s="22" t="s">
        <v>121</v>
      </c>
      <c r="D68" s="22" t="s">
        <v>120</v>
      </c>
      <c r="E68" s="22" t="s">
        <v>60</v>
      </c>
      <c r="F68" s="22" t="s">
        <v>99</v>
      </c>
      <c r="G68" s="22" t="s">
        <v>100</v>
      </c>
      <c r="H68" s="22"/>
      <c r="I68" s="22"/>
    </row>
    <row r="69" spans="2:13" ht="18.75" customHeight="1" x14ac:dyDescent="0.2">
      <c r="B69" s="14" t="s">
        <v>96</v>
      </c>
      <c r="C69" s="14" t="s">
        <v>122</v>
      </c>
      <c r="D69" s="14" t="s">
        <v>123</v>
      </c>
      <c r="E69" s="14" t="s">
        <v>60</v>
      </c>
      <c r="F69" s="14" t="s">
        <v>99</v>
      </c>
      <c r="G69" s="14" t="s">
        <v>100</v>
      </c>
      <c r="H69" s="14"/>
      <c r="I69" s="14"/>
    </row>
    <row r="70" spans="2:13" ht="18.75" customHeight="1" x14ac:dyDescent="0.2">
      <c r="B70" s="22" t="s">
        <v>96</v>
      </c>
      <c r="C70" s="22" t="s">
        <v>124</v>
      </c>
      <c r="D70" s="22" t="s">
        <v>72</v>
      </c>
      <c r="E70" s="22" t="s">
        <v>60</v>
      </c>
      <c r="F70" s="22" t="s">
        <v>99</v>
      </c>
      <c r="G70" s="22" t="s">
        <v>100</v>
      </c>
      <c r="H70" s="22"/>
      <c r="I70" s="22"/>
    </row>
    <row r="71" spans="2:13" ht="18.75" customHeight="1" x14ac:dyDescent="0.2">
      <c r="B71" s="35" t="s">
        <v>125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103</v>
      </c>
      <c r="C72" s="34" t="s">
        <v>126</v>
      </c>
      <c r="D72" s="34" t="s">
        <v>127</v>
      </c>
      <c r="E72" s="34" t="s">
        <v>60</v>
      </c>
      <c r="F72" s="34" t="s">
        <v>99</v>
      </c>
      <c r="G72" s="34" t="s">
        <v>100</v>
      </c>
      <c r="H72" s="22"/>
      <c r="I72" s="22"/>
    </row>
    <row r="73" spans="2:13" ht="18.75" customHeight="1" x14ac:dyDescent="0.2">
      <c r="B73" s="35" t="s">
        <v>103</v>
      </c>
      <c r="C73" s="14" t="s">
        <v>128</v>
      </c>
      <c r="D73" s="14" t="s">
        <v>127</v>
      </c>
      <c r="E73" s="14" t="s">
        <v>60</v>
      </c>
      <c r="F73" s="14" t="s">
        <v>99</v>
      </c>
      <c r="G73" s="14" t="s">
        <v>100</v>
      </c>
      <c r="H73" s="35"/>
      <c r="I73" s="35"/>
    </row>
    <row r="74" spans="2:13" ht="18.75" customHeight="1" x14ac:dyDescent="0.2">
      <c r="B74" s="22" t="s">
        <v>103</v>
      </c>
      <c r="C74" s="34" t="s">
        <v>129</v>
      </c>
      <c r="D74" s="34" t="s">
        <v>127</v>
      </c>
      <c r="E74" s="34" t="s">
        <v>60</v>
      </c>
      <c r="F74" s="34" t="s">
        <v>99</v>
      </c>
      <c r="G74" s="34" t="s">
        <v>100</v>
      </c>
      <c r="H74" s="22"/>
      <c r="I74" s="22"/>
    </row>
    <row r="75" spans="2:13" ht="18.75" customHeight="1" x14ac:dyDescent="0.2">
      <c r="B75" s="28" t="s">
        <v>130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131</v>
      </c>
      <c r="C76" s="22" t="s">
        <v>132</v>
      </c>
      <c r="D76" s="56" t="s">
        <v>133</v>
      </c>
      <c r="E76" s="22" t="s">
        <v>60</v>
      </c>
      <c r="F76" s="22"/>
      <c r="G76" s="22" t="s">
        <v>134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5.4" customHeight="1" thickBot="1" x14ac:dyDescent="0.3">
      <c r="B83" s="32"/>
      <c r="C83" s="33" t="s">
        <v>135</v>
      </c>
      <c r="D83" s="13"/>
    </row>
    <row r="84" spans="2:14" ht="13.5" customHeight="1" thickBot="1" x14ac:dyDescent="0.25">
      <c r="B84" s="1" t="s">
        <v>2</v>
      </c>
      <c r="C84" s="1" t="s">
        <v>44</v>
      </c>
      <c r="D84" s="54" t="str">
        <f>D7</f>
        <v>NLG</v>
      </c>
    </row>
    <row r="85" spans="2:14" ht="18.75" customHeight="1" thickBot="1" x14ac:dyDescent="0.25">
      <c r="B85" s="2" t="s">
        <v>23</v>
      </c>
      <c r="C85" s="2" t="s">
        <v>136</v>
      </c>
      <c r="D85" s="2"/>
    </row>
    <row r="86" spans="2:14" x14ac:dyDescent="0.2">
      <c r="B86" s="14" t="str">
        <f>C58</f>
        <v>ELE_NEW_NAT_GAS_CCGT</v>
      </c>
      <c r="C86" s="14" t="s">
        <v>137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137</v>
      </c>
      <c r="D87" s="22">
        <v>5.6</v>
      </c>
    </row>
    <row r="88" spans="2:14" ht="18.75" customHeight="1" x14ac:dyDescent="0.2"/>
    <row r="89" spans="2:14" ht="18.75" customHeight="1" x14ac:dyDescent="0.2"/>
    <row r="91" spans="2:14" ht="17.25" customHeight="1" x14ac:dyDescent="0.25">
      <c r="B91" s="7" t="s">
        <v>138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5.4" customHeight="1" thickBot="1" x14ac:dyDescent="0.3">
      <c r="B93" s="13" t="s">
        <v>139</v>
      </c>
      <c r="C93" s="13"/>
      <c r="D93" s="13"/>
      <c r="E93" s="13"/>
      <c r="F93" s="13"/>
      <c r="G93" s="13"/>
      <c r="H93" s="13"/>
      <c r="I93" s="13"/>
    </row>
    <row r="94" spans="2:14" ht="13.5" customHeight="1" thickBot="1" x14ac:dyDescent="0.25">
      <c r="B94" s="15" t="s">
        <v>43</v>
      </c>
      <c r="C94" s="15" t="s">
        <v>44</v>
      </c>
      <c r="D94" s="15" t="s">
        <v>45</v>
      </c>
      <c r="E94" s="15" t="s">
        <v>46</v>
      </c>
      <c r="F94" s="15" t="s">
        <v>47</v>
      </c>
      <c r="G94" s="15" t="s">
        <v>48</v>
      </c>
      <c r="H94" s="15" t="s">
        <v>49</v>
      </c>
      <c r="I94" s="15" t="s">
        <v>50</v>
      </c>
    </row>
    <row r="95" spans="2:14" ht="38.65" customHeight="1" thickBot="1" x14ac:dyDescent="0.25">
      <c r="B95" s="2" t="s">
        <v>51</v>
      </c>
      <c r="C95" s="2" t="s">
        <v>52</v>
      </c>
      <c r="D95" s="2" t="s">
        <v>53</v>
      </c>
      <c r="E95" s="2" t="s">
        <v>46</v>
      </c>
      <c r="F95" s="2" t="s">
        <v>54</v>
      </c>
      <c r="G95" s="2" t="s">
        <v>55</v>
      </c>
      <c r="H95" s="2" t="s">
        <v>56</v>
      </c>
      <c r="I95" s="2" t="s">
        <v>57</v>
      </c>
    </row>
    <row r="96" spans="2:14" x14ac:dyDescent="0.2">
      <c r="B96" s="16" t="s">
        <v>39</v>
      </c>
      <c r="C96" s="46" t="s">
        <v>140</v>
      </c>
      <c r="D96" s="47" t="s">
        <v>141</v>
      </c>
      <c r="E96" s="17" t="s">
        <v>60</v>
      </c>
      <c r="F96" s="16"/>
      <c r="G96" s="16"/>
      <c r="H96" s="16"/>
      <c r="I96" s="16"/>
    </row>
    <row r="97" spans="2:9" x14ac:dyDescent="0.2">
      <c r="B97" s="50" t="s">
        <v>39</v>
      </c>
      <c r="C97" s="10" t="s">
        <v>142</v>
      </c>
      <c r="D97" s="9" t="s">
        <v>143</v>
      </c>
      <c r="E97" s="51" t="s">
        <v>60</v>
      </c>
      <c r="F97" s="50"/>
      <c r="G97" s="50"/>
      <c r="H97" s="50"/>
      <c r="I97" s="50"/>
    </row>
    <row r="98" spans="2:9" x14ac:dyDescent="0.2">
      <c r="B98" s="40" t="s">
        <v>39</v>
      </c>
      <c r="C98" s="43" t="s">
        <v>144</v>
      </c>
      <c r="D98" s="42" t="s">
        <v>145</v>
      </c>
      <c r="E98" s="41" t="s">
        <v>60</v>
      </c>
      <c r="F98" s="40"/>
      <c r="G98" s="40"/>
      <c r="H98" s="40"/>
      <c r="I98" s="40"/>
    </row>
    <row r="99" spans="2:9" x14ac:dyDescent="0.2">
      <c r="B99" s="50" t="s">
        <v>39</v>
      </c>
      <c r="C99" s="10" t="s">
        <v>146</v>
      </c>
      <c r="D99" s="9" t="s">
        <v>147</v>
      </c>
      <c r="E99" s="48" t="s">
        <v>60</v>
      </c>
      <c r="F99" s="50"/>
      <c r="G99" s="50"/>
      <c r="H99" s="50"/>
      <c r="I99" s="50"/>
    </row>
    <row r="100" spans="2:9" x14ac:dyDescent="0.2">
      <c r="B100" s="41" t="s">
        <v>39</v>
      </c>
      <c r="C100" s="46" t="s">
        <v>71</v>
      </c>
      <c r="D100" s="47" t="s">
        <v>72</v>
      </c>
      <c r="E100" s="41" t="s">
        <v>60</v>
      </c>
      <c r="F100" s="41"/>
      <c r="G100" s="41"/>
      <c r="H100" s="41"/>
      <c r="I100" s="41"/>
    </row>
    <row r="101" spans="2:9" x14ac:dyDescent="0.2">
      <c r="B101" s="41" t="s">
        <v>39</v>
      </c>
      <c r="C101" s="46" t="s">
        <v>148</v>
      </c>
      <c r="D101" s="47" t="s">
        <v>59</v>
      </c>
      <c r="E101" s="41" t="s">
        <v>60</v>
      </c>
      <c r="F101" s="41"/>
      <c r="G101" s="41"/>
      <c r="H101" s="41"/>
      <c r="I101" s="41"/>
    </row>
    <row r="102" spans="2:9" x14ac:dyDescent="0.2">
      <c r="B102" s="9" t="s">
        <v>39</v>
      </c>
      <c r="C102" s="10" t="s">
        <v>149</v>
      </c>
      <c r="D102" s="9" t="s">
        <v>150</v>
      </c>
      <c r="E102" s="12" t="s">
        <v>60</v>
      </c>
      <c r="F102" s="11"/>
      <c r="G102" s="11"/>
      <c r="H102" s="11"/>
      <c r="I102" s="11"/>
    </row>
    <row r="103" spans="2:9" x14ac:dyDescent="0.2">
      <c r="B103" s="42" t="s">
        <v>39</v>
      </c>
      <c r="C103" s="46" t="s">
        <v>151</v>
      </c>
      <c r="D103" s="47" t="s">
        <v>152</v>
      </c>
      <c r="E103" s="44" t="s">
        <v>60</v>
      </c>
      <c r="F103" s="45"/>
      <c r="G103" s="45"/>
      <c r="H103" s="45"/>
      <c r="I103" s="45"/>
    </row>
    <row r="104" spans="2:9" x14ac:dyDescent="0.2">
      <c r="B104" s="9" t="s">
        <v>103</v>
      </c>
      <c r="C104" s="10" t="s">
        <v>153</v>
      </c>
      <c r="D104" s="9" t="s">
        <v>152</v>
      </c>
      <c r="E104" s="12" t="s">
        <v>60</v>
      </c>
      <c r="F104" s="11"/>
      <c r="G104" s="11"/>
      <c r="H104" s="11"/>
      <c r="I104" s="11"/>
    </row>
    <row r="105" spans="2:9" x14ac:dyDescent="0.2">
      <c r="B105" s="42" t="s">
        <v>39</v>
      </c>
      <c r="C105" s="46" t="s">
        <v>154</v>
      </c>
      <c r="D105" s="47" t="s">
        <v>155</v>
      </c>
      <c r="E105" s="44" t="s">
        <v>60</v>
      </c>
      <c r="F105" s="45"/>
      <c r="G105" s="45"/>
      <c r="H105" s="45"/>
      <c r="I105" s="45"/>
    </row>
    <row r="106" spans="2:9" x14ac:dyDescent="0.2">
      <c r="B106" s="9" t="s">
        <v>39</v>
      </c>
      <c r="C106" s="10" t="s">
        <v>67</v>
      </c>
      <c r="D106" s="9" t="s">
        <v>68</v>
      </c>
      <c r="E106" s="12" t="s">
        <v>60</v>
      </c>
      <c r="F106" s="11"/>
      <c r="G106" s="11"/>
      <c r="H106" s="11"/>
      <c r="I106" s="11"/>
    </row>
    <row r="107" spans="2:9" x14ac:dyDescent="0.2">
      <c r="B107" s="42" t="s">
        <v>39</v>
      </c>
      <c r="C107" s="46" t="s">
        <v>75</v>
      </c>
      <c r="D107" s="47" t="s">
        <v>76</v>
      </c>
      <c r="E107" s="44" t="s">
        <v>60</v>
      </c>
      <c r="F107" s="45"/>
      <c r="G107" s="45"/>
      <c r="H107" s="45"/>
      <c r="I107" s="45"/>
    </row>
    <row r="108" spans="2:9" x14ac:dyDescent="0.2">
      <c r="B108" s="48" t="s">
        <v>39</v>
      </c>
      <c r="C108" s="48" t="s">
        <v>77</v>
      </c>
      <c r="D108" s="48" t="s">
        <v>78</v>
      </c>
      <c r="E108" s="12" t="s">
        <v>60</v>
      </c>
      <c r="F108" s="11"/>
      <c r="G108" s="48" t="s">
        <v>100</v>
      </c>
      <c r="H108" s="48" t="s">
        <v>134</v>
      </c>
      <c r="I108" s="11" t="s">
        <v>156</v>
      </c>
    </row>
    <row r="109" spans="2:9" x14ac:dyDescent="0.2">
      <c r="B109" s="41" t="s">
        <v>39</v>
      </c>
      <c r="C109" s="41" t="s">
        <v>79</v>
      </c>
      <c r="D109" s="41" t="s">
        <v>80</v>
      </c>
      <c r="E109" s="44" t="s">
        <v>60</v>
      </c>
      <c r="F109" s="45"/>
      <c r="G109" s="41" t="s">
        <v>100</v>
      </c>
      <c r="H109" s="41" t="s">
        <v>134</v>
      </c>
      <c r="I109" s="45" t="s">
        <v>156</v>
      </c>
    </row>
    <row r="110" spans="2:9" x14ac:dyDescent="0.2">
      <c r="B110" s="48" t="s">
        <v>39</v>
      </c>
      <c r="C110" s="48" t="s">
        <v>65</v>
      </c>
      <c r="D110" s="48" t="s">
        <v>66</v>
      </c>
      <c r="E110" s="12" t="s">
        <v>60</v>
      </c>
      <c r="F110" s="11"/>
      <c r="G110" s="48" t="s">
        <v>100</v>
      </c>
      <c r="H110" s="48" t="s">
        <v>134</v>
      </c>
      <c r="I110" s="11" t="s">
        <v>156</v>
      </c>
    </row>
    <row r="111" spans="2:9" x14ac:dyDescent="0.2">
      <c r="B111" s="49" t="s">
        <v>39</v>
      </c>
      <c r="C111" s="49" t="s">
        <v>37</v>
      </c>
      <c r="D111" s="49" t="s">
        <v>157</v>
      </c>
      <c r="E111" s="44" t="s">
        <v>60</v>
      </c>
      <c r="F111" s="45"/>
      <c r="G111" s="41" t="s">
        <v>100</v>
      </c>
      <c r="H111" s="41" t="s">
        <v>134</v>
      </c>
      <c r="I111" s="45" t="s">
        <v>156</v>
      </c>
    </row>
    <row r="112" spans="2:9" x14ac:dyDescent="0.2">
      <c r="B112" s="48" t="s">
        <v>39</v>
      </c>
      <c r="C112" s="48" t="s">
        <v>38</v>
      </c>
      <c r="D112" s="48" t="s">
        <v>157</v>
      </c>
      <c r="E112" s="12" t="s">
        <v>60</v>
      </c>
      <c r="F112" s="11"/>
      <c r="G112" s="48" t="s">
        <v>100</v>
      </c>
      <c r="H112" s="48" t="s">
        <v>134</v>
      </c>
      <c r="I112" s="11" t="s">
        <v>156</v>
      </c>
    </row>
    <row r="113" spans="2:9" x14ac:dyDescent="0.2">
      <c r="B113" s="49" t="s">
        <v>39</v>
      </c>
      <c r="C113" s="49" t="s">
        <v>158</v>
      </c>
      <c r="D113" s="49" t="s">
        <v>159</v>
      </c>
      <c r="E113" s="44" t="s">
        <v>60</v>
      </c>
      <c r="G113" s="41" t="s">
        <v>100</v>
      </c>
      <c r="H113" s="41" t="s">
        <v>134</v>
      </c>
      <c r="I113" s="45" t="s">
        <v>156</v>
      </c>
    </row>
    <row r="114" spans="2:9" x14ac:dyDescent="0.2">
      <c r="B114" s="48" t="s">
        <v>160</v>
      </c>
      <c r="C114" s="48" t="s">
        <v>137</v>
      </c>
      <c r="D114" s="48" t="s">
        <v>161</v>
      </c>
      <c r="E114" s="12"/>
      <c r="F114" s="52"/>
      <c r="G114" s="48" t="s">
        <v>100</v>
      </c>
      <c r="H114" s="48" t="s">
        <v>134</v>
      </c>
      <c r="I114" s="11" t="s">
        <v>156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2026-05-21T09:18:39Z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