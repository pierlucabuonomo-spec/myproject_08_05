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bRES_TMPL\"/>
    </mc:Choice>
  </mc:AlternateContent>
  <xr:revisionPtr revIDLastSave="0" documentId="13_ncr:1_{143B39A8-F079-4D5F-A4B0-EAEBA9162EBA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ELC" sheetId="1" r:id="rId1"/>
  </sheets>
  <externalReferences>
    <externalReference r:id="rId2"/>
    <externalReference r:id="rId3"/>
  </externalReferences>
  <definedNames>
    <definedName name="FID_1">[1]AGR_Fuels!$A$2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E23" i="1"/>
  <c r="D23" i="1"/>
  <c r="C23" i="1"/>
  <c r="B23" i="1"/>
  <c r="L22" i="1"/>
  <c r="E22" i="1"/>
  <c r="D22" i="1"/>
  <c r="C22" i="1"/>
  <c r="B22" i="1"/>
  <c r="U21" i="1"/>
  <c r="C20" i="1"/>
  <c r="B20" i="1"/>
  <c r="U19" i="1"/>
  <c r="C18" i="1"/>
  <c r="B18" i="1"/>
  <c r="U17" i="1"/>
  <c r="C16" i="1"/>
  <c r="B16" i="1"/>
  <c r="D15" i="1"/>
  <c r="C15" i="1"/>
  <c r="B15" i="1"/>
  <c r="L14" i="1"/>
  <c r="D14" i="1"/>
  <c r="C14" i="1"/>
  <c r="B14" i="1"/>
  <c r="L13" i="1"/>
  <c r="E13" i="1"/>
  <c r="E20" i="1" s="1"/>
  <c r="D13" i="1"/>
  <c r="C13" i="1"/>
  <c r="B13" i="1"/>
  <c r="L12" i="1"/>
  <c r="E12" i="1"/>
  <c r="E18" i="1" s="1"/>
  <c r="D12" i="1"/>
  <c r="C12" i="1"/>
  <c r="B12" i="1"/>
  <c r="E11" i="1"/>
  <c r="D16" i="1" s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C7" i="1"/>
  <c r="B7" i="1"/>
  <c r="D77" i="1"/>
  <c r="D20" i="1" l="1"/>
  <c r="D18" i="1"/>
  <c r="D11" i="1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29" authorId="0" shapeId="0" xr:uid="{00000000-0006-0000-0000-000001000000}">
      <text>
        <r>
          <rPr>
            <sz val="10"/>
            <rFont val="Arial"/>
            <family val="2"/>
          </rPr>
          <t>Csets declarations are inherited until the next one is encountered.
Possible Cset:
NRG (Energy)
ENV (Emission)
DEM (Demand)
MAT (Material)
FIN (Financial)</t>
        </r>
      </text>
    </comment>
    <comment ref="F29" authorId="1" shapeId="0" xr:uid="{00000000-0006-0000-0000-000002000000}">
      <text>
        <r>
          <rPr>
            <sz val="10"/>
            <rFont val="Arial"/>
            <family val="2"/>
          </rPr>
          <t>Possible Lim Type
UP (upper for &gt;=)
LO (Lower for &lt;=)
FX (Fix for =)</t>
        </r>
      </text>
    </comment>
    <comment ref="G29" authorId="1" shapeId="0" xr:uid="{00000000-0006-0000-0000-000003000000}">
      <text>
        <r>
          <rPr>
            <sz val="10"/>
            <rFont val="Arial"/>
            <family val="2"/>
          </rPr>
          <t>Possible CTSLvl
SEASON (Seasonal level)
WEEKLY (Weekly level)
DAYNITE (day and night level)</t>
        </r>
      </text>
    </comment>
    <comment ref="H29" authorId="1" shapeId="0" xr:uid="{00000000-0006-0000-0000-000004000000}">
      <text>
        <r>
          <rPr>
            <sz val="10"/>
            <rFont val="Arial"/>
            <family val="2"/>
          </rPr>
          <t>Possible PeakTS
ANNUAL (to generate Peak Equation for all the TimeSlices)
User TS (to generate Peak Equation for a single TS)</t>
        </r>
      </text>
    </comment>
    <comment ref="I29" authorId="1" shapeId="0" xr:uid="{00000000-0006-0000-0000-000005000000}">
      <text>
        <r>
          <rPr>
            <sz val="10"/>
            <rFont val="Arial"/>
            <family val="2"/>
          </rPr>
          <t>Possible Ctype
ELC (Electricity)</t>
        </r>
      </text>
    </comment>
    <comment ref="G51" authorId="1" shapeId="0" xr:uid="{00000000-0006-0000-0000-000006000000}">
      <text>
        <r>
          <rPr>
            <sz val="10"/>
            <rFont val="Arial"/>
            <family val="2"/>
          </rPr>
          <t>Possible TsLvl
ANNUAL (Annual level)
SEASON (Seasonal level)
WEEKLY (Weekly level)
DAYNITE (day and night level)</t>
        </r>
      </text>
    </comment>
    <comment ref="I51" authorId="1" shapeId="0" xr:uid="{00000000-0006-0000-0000-000007000000}">
      <text>
        <r>
          <rPr>
            <sz val="10"/>
            <rFont val="Arial"/>
            <family val="2"/>
          </rPr>
          <t>Possible Vintage
NO (if empty by default mean NO)
YES</t>
        </r>
      </text>
    </comment>
    <comment ref="B52" authorId="1" shapeId="0" xr:uid="{00000000-0006-0000-0000-000008000000}">
      <text>
        <r>
          <rPr>
            <sz val="10"/>
            <rFont val="Arial"/>
            <family val="2"/>
          </rPr>
  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  </r>
      </text>
    </comment>
  </commentList>
</comments>
</file>

<file path=xl/sharedStrings.xml><?xml version="1.0" encoding="utf-8"?>
<sst xmlns="http://schemas.openxmlformats.org/spreadsheetml/2006/main" count="333" uniqueCount="156">
  <si>
    <t>New Technologies</t>
  </si>
  <si>
    <t>~FI_T</t>
  </si>
  <si>
    <t>TechName</t>
  </si>
  <si>
    <t>\I: TechDesc</t>
  </si>
  <si>
    <t>Comm-IN</t>
  </si>
  <si>
    <t>Comm-OUT</t>
  </si>
  <si>
    <t>START</t>
  </si>
  <si>
    <t>EFF</t>
  </si>
  <si>
    <t>STG_EFF</t>
  </si>
  <si>
    <t>CAP2ACT</t>
  </si>
  <si>
    <t>AFA</t>
  </si>
  <si>
    <t>INVCOST~2025</t>
  </si>
  <si>
    <t>INVCOST~2050</t>
  </si>
  <si>
    <t>FIXOM</t>
  </si>
  <si>
    <t>VAROM</t>
  </si>
  <si>
    <t>LIFE</t>
  </si>
  <si>
    <t>PEAK</t>
  </si>
  <si>
    <t>Share-I~UP~2030</t>
  </si>
  <si>
    <t>Share-I~UP~2050</t>
  </si>
  <si>
    <t>Share-I~UP~0</t>
  </si>
  <si>
    <t>CommGrp</t>
  </si>
  <si>
    <t>NCAP_AFC~DAYNITE</t>
  </si>
  <si>
    <t>Discharge time in [h]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</si>
  <si>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</si>
  <si>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</si>
  <si>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</si>
  <si>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</si>
  <si>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</si>
  <si>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</si>
  <si>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</si>
  <si>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</si>
  <si>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Investment Cost [EUR/kW]</t>
  </si>
  <si>
    <t>Fixed O&amp;M Costs [EUR/kW]</t>
  </si>
  <si>
    <t>Variable O&amp;M Costs [EUR/GJ]</t>
  </si>
  <si>
    <t>Technical Lifetime [years]</t>
  </si>
  <si>
    <t>Peak Eq Coeff</t>
  </si>
  <si>
    <t>or energy capacity per power capacity [GWh/GW]</t>
  </si>
  <si>
    <t>ELEC_MV_GRID</t>
  </si>
  <si>
    <t>ELEC_LV_GRID</t>
  </si>
  <si>
    <t>NRG</t>
  </si>
  <si>
    <t>ACT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</si>
  <si>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</si>
  <si>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</si>
  <si>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</si>
  <si>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</si>
  <si>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</si>
  <si>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</si>
  <si>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</si>
  <si>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</si>
  <si>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</si>
  <si>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</si>
  <si>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</si>
  <si>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</si>
  <si>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</si>
  <si>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</si>
  <si>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</si>
  <si>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</si>
  <si>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</si>
  <si>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HYDROGEN</t>
  </si>
  <si>
    <t>Hidrogen</t>
  </si>
  <si>
    <t>PJ</t>
  </si>
  <si>
    <t>HYDROGEN_ENGINE</t>
  </si>
  <si>
    <t>Hidrogen for engine</t>
  </si>
  <si>
    <t>BIOGAS</t>
  </si>
  <si>
    <t>Biogas</t>
  </si>
  <si>
    <t>ELEC_LV</t>
  </si>
  <si>
    <t>Low Voltage Electricity (&lt; 1kV)</t>
  </si>
  <si>
    <t>WIND-ON</t>
  </si>
  <si>
    <t>Onshore Wind Energy</t>
  </si>
  <si>
    <t>BIOMASS</t>
  </si>
  <si>
    <t>Biomass</t>
  </si>
  <si>
    <t>HIDRO_STG_PUMP</t>
  </si>
  <si>
    <t>Hidro storage pump</t>
  </si>
  <si>
    <t>SOLAR</t>
  </si>
  <si>
    <t>Solar Energy</t>
  </si>
  <si>
    <t>ELEC_HV</t>
  </si>
  <si>
    <t>High Voltage Electricity (&gt;110 kV)</t>
  </si>
  <si>
    <t>ELEC_MV</t>
  </si>
  <si>
    <t>Medium voltage Electricity (20 -60 kV)</t>
  </si>
  <si>
    <t>Define 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</si>
  <si>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</si>
  <si>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</si>
  <si>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</si>
  <si>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</si>
  <si>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</si>
  <si>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</si>
  <si>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</si>
  <si>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</si>
  <si>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</si>
  <si>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</si>
  <si>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</si>
  <si>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</si>
  <si>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</si>
  <si>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</si>
  <si>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ELE</t>
  </si>
  <si>
    <t>GW</t>
  </si>
  <si>
    <t>DAYNITE</t>
  </si>
  <si>
    <t>STG</t>
  </si>
  <si>
    <t>STG_NEW_HIDRO_STORAGE_PUMP</t>
  </si>
  <si>
    <t>Hidro Storage Pump</t>
  </si>
  <si>
    <t>PRE</t>
  </si>
  <si>
    <t>PRE_NEW_HIDROGEN</t>
  </si>
  <si>
    <t>Hidrogen energy</t>
  </si>
  <si>
    <t>STG_HIDROGEN_ALL</t>
  </si>
  <si>
    <t>Storage Hidrogen</t>
  </si>
  <si>
    <t>ELE_NEW_HIDROGEN_TURBINE_CCHT</t>
  </si>
  <si>
    <t>Hidrogen turbine fuel</t>
  </si>
  <si>
    <t>NRG_FUEL_CELL_ENGINE</t>
  </si>
  <si>
    <t>Fuel cell of Engine</t>
  </si>
  <si>
    <t>ELE_NEW_WIND-ON</t>
  </si>
  <si>
    <t>Wind Onshore</t>
  </si>
  <si>
    <t>ELE_NEW_PV</t>
  </si>
  <si>
    <t>Photovoltaics Ground</t>
  </si>
  <si>
    <t>ELE_NEW_AUTOPR_PV</t>
  </si>
  <si>
    <t>Photovoltaics Roof</t>
  </si>
  <si>
    <t>ELE_NEW_AUTOPR_PV_RES</t>
  </si>
  <si>
    <t>ELE_NEW_BIOGAS-AGR</t>
  </si>
  <si>
    <t>Biogas Agricultural</t>
  </si>
  <si>
    <t>ELE_NEW_BIOMASS</t>
  </si>
  <si>
    <t>\I:</t>
  </si>
  <si>
    <t>NEW_ELEC_STG_2H</t>
  </si>
  <si>
    <t>Electricity Storage</t>
  </si>
  <si>
    <t>NEW_ELEC_STG_6H</t>
  </si>
  <si>
    <t>NEW_ELEC_STG_8H</t>
  </si>
  <si>
    <t>\I: New Fuel Supply</t>
  </si>
  <si>
    <t>MIN</t>
  </si>
  <si>
    <t>MIN_BIOGAS_AGR</t>
  </si>
  <si>
    <t>Biogas Production</t>
  </si>
  <si>
    <t>ANNUAL</t>
  </si>
  <si>
    <t>~PRCCOMEMI</t>
  </si>
  <si>
    <t>Commodity Name (Pollutant)</t>
  </si>
  <si>
    <t>CO2</t>
  </si>
  <si>
    <t>Commodities copied from SUP and ELC baseyear file</t>
  </si>
  <si>
    <t>Not read</t>
  </si>
  <si>
    <t>SOLID</t>
  </si>
  <si>
    <t>Hard Coal</t>
  </si>
  <si>
    <t>CRUDE_OIL</t>
  </si>
  <si>
    <t>Crude Oil</t>
  </si>
  <si>
    <t>OILGAS</t>
  </si>
  <si>
    <t>Syngas_Res</t>
  </si>
  <si>
    <t>GNL</t>
  </si>
  <si>
    <t>Gas Natural Liquid</t>
  </si>
  <si>
    <t>HIDROGEN</t>
  </si>
  <si>
    <t>HIDRO</t>
  </si>
  <si>
    <t>Hidro pump</t>
  </si>
  <si>
    <t>HIDRO_RUN</t>
  </si>
  <si>
    <t>Hidro run of river</t>
  </si>
  <si>
    <t>HIDRO_STORAGE</t>
  </si>
  <si>
    <t>OTHER</t>
  </si>
  <si>
    <t>Other</t>
  </si>
  <si>
    <t>ELC</t>
  </si>
  <si>
    <t>Grid low voltage</t>
  </si>
  <si>
    <t>ELEC_LV_DIST</t>
  </si>
  <si>
    <t>Distribution Low Voltage Electricity (&lt; 1kV)</t>
  </si>
  <si>
    <t>ENV</t>
  </si>
  <si>
    <t>Carbon Dioxide 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</si>
</sst>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2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name val="Arial"/>
      <family val="2"/>
      <charset val="238"/>
    </font>
    <font>
      <u/>
      <sz val="1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rgb="FF000000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9" fontId="9" fillId="0" borderId="0"/>
    <xf numFmtId="0" fontId="9" fillId="0" borderId="0"/>
    <xf numFmtId="0" fontId="2" fillId="0" borderId="0"/>
  </cellStyleXfs>
  <cellXfs count="78">
    <xf numFmtId="0" fontId="0" fillId="0" borderId="0" xfId="0"/>
    <xf numFmtId="0" fontId="7" fillId="4" borderId="1" xfId="2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quotePrefix="1" applyFont="1" applyFill="1"/>
    <xf numFmtId="164" fontId="4" fillId="3" borderId="0" xfId="0" applyNumberFormat="1" applyFont="1" applyFill="1"/>
    <xf numFmtId="164" fontId="2" fillId="3" borderId="0" xfId="0" applyNumberFormat="1" applyFont="1" applyFill="1"/>
    <xf numFmtId="164" fontId="0" fillId="3" borderId="0" xfId="0" applyNumberFormat="1" applyFill="1"/>
    <xf numFmtId="164" fontId="0" fillId="3" borderId="0" xfId="0" applyNumberFormat="1" applyFill="1" applyAlignment="1">
      <alignment horizontal="left"/>
    </xf>
    <xf numFmtId="0" fontId="8" fillId="6" borderId="0" xfId="0" applyFont="1" applyFill="1"/>
    <xf numFmtId="0" fontId="6" fillId="6" borderId="0" xfId="0" applyFont="1" applyFill="1"/>
    <xf numFmtId="164" fontId="7" fillId="4" borderId="1" xfId="0" applyNumberFormat="1" applyFont="1" applyFill="1" applyBorder="1" applyAlignment="1">
      <alignment horizontal="center" vertical="center" wrapText="1"/>
    </xf>
    <xf numFmtId="164" fontId="6" fillId="6" borderId="0" xfId="0" applyNumberFormat="1" applyFont="1" applyFill="1"/>
    <xf numFmtId="164" fontId="6" fillId="6" borderId="0" xfId="0" quotePrefix="1" applyNumberFormat="1" applyFont="1" applyFill="1" applyAlignment="1">
      <alignment horizontal="left"/>
    </xf>
    <xf numFmtId="164" fontId="6" fillId="7" borderId="0" xfId="0" applyNumberFormat="1" applyFont="1" applyFill="1"/>
    <xf numFmtId="9" fontId="6" fillId="6" borderId="0" xfId="6" applyFont="1" applyFill="1"/>
    <xf numFmtId="2" fontId="6" fillId="6" borderId="0" xfId="0" applyNumberFormat="1" applyFont="1" applyFill="1"/>
    <xf numFmtId="0" fontId="6" fillId="7" borderId="0" xfId="0" applyFont="1" applyFill="1"/>
    <xf numFmtId="9" fontId="6" fillId="7" borderId="0" xfId="6" applyFont="1" applyFill="1"/>
    <xf numFmtId="2" fontId="6" fillId="7" borderId="0" xfId="0" applyNumberFormat="1" applyFont="1" applyFill="1"/>
    <xf numFmtId="0" fontId="6" fillId="5" borderId="2" xfId="0" applyFont="1" applyFill="1" applyBorder="1" applyAlignment="1">
      <alignment horizontal="center" vertical="center" wrapText="1"/>
    </xf>
    <xf numFmtId="0" fontId="6" fillId="6" borderId="0" xfId="3" quotePrefix="1" applyFont="1" applyFill="1"/>
    <xf numFmtId="0" fontId="6" fillId="6" borderId="3" xfId="0" applyFont="1" applyFill="1" applyBorder="1"/>
    <xf numFmtId="0" fontId="6" fillId="8" borderId="4" xfId="0" applyFont="1" applyFill="1" applyBorder="1"/>
    <xf numFmtId="0" fontId="6" fillId="9" borderId="0" xfId="0" applyFont="1" applyFill="1"/>
    <xf numFmtId="0" fontId="6" fillId="9" borderId="3" xfId="0" applyFont="1" applyFill="1" applyBorder="1"/>
    <xf numFmtId="0" fontId="8" fillId="6" borderId="0" xfId="0" applyFont="1" applyFill="1" applyAlignment="1">
      <alignment horizontal="left"/>
    </xf>
    <xf numFmtId="0" fontId="8" fillId="6" borderId="0" xfId="2" applyFont="1" applyFill="1" applyAlignment="1">
      <alignment horizontal="left"/>
    </xf>
    <xf numFmtId="0" fontId="6" fillId="3" borderId="0" xfId="0" applyFont="1" applyFill="1"/>
    <xf numFmtId="0" fontId="6" fillId="10" borderId="0" xfId="0" applyFont="1" applyFill="1"/>
    <xf numFmtId="164" fontId="6" fillId="10" borderId="0" xfId="0" applyNumberFormat="1" applyFont="1" applyFill="1"/>
    <xf numFmtId="9" fontId="6" fillId="10" borderId="0" xfId="6" applyFont="1" applyFill="1"/>
    <xf numFmtId="2" fontId="6" fillId="10" borderId="0" xfId="0" applyNumberFormat="1" applyFont="1" applyFill="1"/>
    <xf numFmtId="0" fontId="6" fillId="3" borderId="0" xfId="1" applyFont="1" applyFill="1" applyAlignment="1">
      <alignment horizontal="left" wrapText="1"/>
    </xf>
    <xf numFmtId="164" fontId="6" fillId="0" borderId="0" xfId="0" applyNumberFormat="1" applyFont="1"/>
    <xf numFmtId="164" fontId="6" fillId="0" borderId="0" xfId="0" applyNumberFormat="1" applyFont="1" applyAlignment="1">
      <alignment horizontal="left"/>
    </xf>
    <xf numFmtId="164" fontId="4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2" fillId="10" borderId="0" xfId="0" applyNumberFormat="1" applyFont="1" applyFill="1"/>
    <xf numFmtId="164" fontId="4" fillId="10" borderId="0" xfId="0" applyNumberFormat="1" applyFont="1" applyFill="1"/>
    <xf numFmtId="164" fontId="6" fillId="3" borderId="0" xfId="0" applyNumberFormat="1" applyFont="1" applyFill="1" applyAlignment="1">
      <alignment horizontal="left"/>
    </xf>
    <xf numFmtId="164" fontId="6" fillId="10" borderId="0" xfId="0" applyNumberFormat="1" applyFont="1" applyFill="1" applyAlignment="1">
      <alignment horizontal="left"/>
    </xf>
    <xf numFmtId="164" fontId="6" fillId="3" borderId="0" xfId="0" applyNumberFormat="1" applyFont="1" applyFill="1"/>
    <xf numFmtId="164" fontId="6" fillId="3" borderId="0" xfId="0" quotePrefix="1" applyNumberFormat="1" applyFont="1" applyFill="1" applyAlignment="1">
      <alignment horizontal="left"/>
    </xf>
    <xf numFmtId="0" fontId="0" fillId="3" borderId="0" xfId="0" applyFill="1"/>
    <xf numFmtId="0" fontId="6" fillId="0" borderId="0" xfId="1" applyFont="1" applyAlignment="1">
      <alignment horizontal="left" wrapText="1"/>
    </xf>
    <xf numFmtId="164" fontId="7" fillId="4" borderId="1" xfId="2" applyNumberFormat="1" applyFont="1" applyFill="1" applyBorder="1" applyAlignment="1">
      <alignment horizontal="center" vertical="center" wrapText="1"/>
    </xf>
    <xf numFmtId="0" fontId="10" fillId="0" borderId="0" xfId="0" applyFont="1"/>
    <xf numFmtId="164" fontId="0" fillId="3" borderId="0" xfId="0" quotePrefix="1" applyNumberFormat="1" applyFill="1" applyAlignment="1">
      <alignment horizontal="left"/>
    </xf>
    <xf numFmtId="0" fontId="2" fillId="3" borderId="0" xfId="0" applyFont="1" applyFill="1"/>
    <xf numFmtId="9" fontId="0" fillId="0" borderId="0" xfId="6" applyFont="1"/>
    <xf numFmtId="0" fontId="7" fillId="4" borderId="0" xfId="0" applyFont="1" applyFill="1" applyAlignment="1">
      <alignment horizontal="center" vertical="center" wrapText="1"/>
    </xf>
    <xf numFmtId="0" fontId="4" fillId="10" borderId="0" xfId="0" applyFont="1" applyFill="1"/>
    <xf numFmtId="9" fontId="0" fillId="10" borderId="0" xfId="0" applyNumberFormat="1" applyFill="1"/>
    <xf numFmtId="0" fontId="0" fillId="10" borderId="0" xfId="0" applyFill="1"/>
    <xf numFmtId="9" fontId="4" fillId="10" borderId="0" xfId="6" applyFont="1" applyFill="1"/>
    <xf numFmtId="0" fontId="4" fillId="9" borderId="0" xfId="0" applyFont="1" applyFill="1"/>
    <xf numFmtId="9" fontId="4" fillId="7" borderId="0" xfId="6" applyFont="1" applyFill="1"/>
    <xf numFmtId="0" fontId="4" fillId="3" borderId="0" xfId="0" applyFont="1" applyFill="1"/>
    <xf numFmtId="0" fontId="11" fillId="0" borderId="0" xfId="0" applyFont="1"/>
    <xf numFmtId="0" fontId="6" fillId="10" borderId="3" xfId="0" applyFont="1" applyFill="1" applyBorder="1"/>
    <xf numFmtId="9" fontId="6" fillId="10" borderId="3" xfId="6" applyFont="1" applyFill="1" applyBorder="1"/>
    <xf numFmtId="2" fontId="6" fillId="10" borderId="3" xfId="0" applyNumberFormat="1" applyFont="1" applyFill="1" applyBorder="1"/>
    <xf numFmtId="2" fontId="6" fillId="3" borderId="0" xfId="0" applyNumberFormat="1" applyFont="1" applyFill="1"/>
    <xf numFmtId="9" fontId="6" fillId="3" borderId="0" xfId="6" applyFont="1" applyFill="1"/>
    <xf numFmtId="164" fontId="6" fillId="10" borderId="3" xfId="0" applyNumberFormat="1" applyFont="1" applyFill="1" applyBorder="1"/>
    <xf numFmtId="9" fontId="0" fillId="3" borderId="0" xfId="0" applyNumberFormat="1" applyFill="1"/>
    <xf numFmtId="0" fontId="7" fillId="11" borderId="1" xfId="7" applyFont="1" applyFill="1" applyBorder="1" applyAlignment="1">
      <alignment horizontal="center" vertical="center" wrapText="1"/>
    </xf>
    <xf numFmtId="0" fontId="7" fillId="4" borderId="1" xfId="7" applyFont="1" applyFill="1" applyBorder="1" applyAlignment="1">
      <alignment horizontal="center" vertical="center" wrapText="1"/>
    </xf>
    <xf numFmtId="0" fontId="6" fillId="5" borderId="2" xfId="8" applyFont="1" applyFill="1" applyBorder="1" applyAlignment="1">
      <alignment horizontal="center" vertical="center" wrapText="1"/>
    </xf>
    <xf numFmtId="0" fontId="0" fillId="10" borderId="5" xfId="0" applyFill="1" applyBorder="1"/>
    <xf numFmtId="0" fontId="5" fillId="0" borderId="0" xfId="0" applyFont="1" applyAlignment="1">
      <alignment horizontal="left" vertical="center"/>
    </xf>
  </cellXfs>
  <cellStyles count="9">
    <cellStyle name="Normal 10" xfId="1" xr:uid="{00000000-0005-0000-0000-000001000000}"/>
    <cellStyle name="Normal 10 15 2" xfId="8" xr:uid="{00000000-0005-0000-0000-000008000000}"/>
    <cellStyle name="Normal 39 2 2" xfId="7" xr:uid="{00000000-0005-0000-0000-000007000000}"/>
    <cellStyle name="Normal 4" xfId="2" xr:uid="{00000000-0005-0000-0000-000002000000}"/>
    <cellStyle name="Normal_MIN" xfId="5" xr:uid="{00000000-0005-0000-0000-000005000000}"/>
    <cellStyle name="Normale" xfId="0" builtinId="0"/>
    <cellStyle name="Normalny 10" xfId="3" xr:uid="{00000000-0005-0000-0000-000003000000}"/>
    <cellStyle name="Normalny 2" xfId="4" xr:uid="{00000000-0005-0000-0000-000004000000}"/>
    <cellStyle name="Percentuale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>
        <row r="7">
          <cell r="C7" t="str">
            <v>ELEC_HV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105"/>
  <sheetViews>
    <sheetView tabSelected="1" topLeftCell="C1" zoomScale="79" zoomScaleNormal="119" workbookViewId="0">
      <selection activeCell="M8" sqref="M8"/>
    </sheetView>
  </sheetViews>
  <sheetFormatPr defaultRowHeight="12.75" x14ac:dyDescent="0.2"/>
  <cols>
    <col min="1" max="1" width="2.85546875" customWidth="1"/>
    <col min="2" max="2" width="40.85546875" customWidth="1"/>
    <col min="3" max="3" width="60.140625" customWidth="1"/>
    <col min="4" max="4" width="31.7109375" customWidth="1"/>
    <col min="5" max="5" width="18.7109375" customWidth="1"/>
    <col min="6" max="6" width="14.5703125" customWidth="1"/>
    <col min="7" max="7" width="15.85546875" customWidth="1"/>
    <col min="8" max="8" width="14.85546875" customWidth="1"/>
    <col min="9" max="9" width="10.5703125" customWidth="1"/>
    <col min="10" max="10" width="10.140625" customWidth="1"/>
    <col min="11" max="11" width="14.7109375" customWidth="1"/>
    <col min="12" max="12" width="15.42578125" customWidth="1"/>
    <col min="13" max="13" width="19.7109375" customWidth="1"/>
    <col min="14" max="14" width="36.5703125" customWidth="1"/>
    <col min="15" max="15" width="7.28515625" customWidth="1"/>
    <col min="16" max="16" width="16.140625" customWidth="1"/>
    <col min="17" max="17" width="14" customWidth="1"/>
    <col min="18" max="18" width="9.5703125" customWidth="1"/>
    <col min="20" max="20" width="12.5703125" customWidth="1"/>
    <col min="21" max="21" width="11.140625" customWidth="1"/>
    <col min="22" max="22" width="18.28515625" customWidth="1"/>
  </cols>
  <sheetData>
    <row r="1" spans="1:22" ht="13.5" customHeight="1" x14ac:dyDescent="0.2">
      <c r="L1" s="77"/>
      <c r="M1" s="77"/>
      <c r="N1" s="77"/>
      <c r="O1" s="77"/>
    </row>
    <row r="2" spans="1:22" ht="17.25" customHeight="1" x14ac:dyDescent="0.25">
      <c r="B2" s="7" t="s">
        <v>0</v>
      </c>
      <c r="L2" s="77"/>
      <c r="M2" s="77"/>
      <c r="N2" s="77"/>
      <c r="O2" s="77"/>
    </row>
    <row r="3" spans="1:22" ht="13.15" customHeight="1" x14ac:dyDescent="0.2">
      <c r="F3" s="5"/>
      <c r="G3" s="5"/>
      <c r="H3" s="4"/>
      <c r="I3" s="4"/>
      <c r="J3" s="4"/>
      <c r="K3" s="4"/>
      <c r="L3" s="6"/>
    </row>
    <row r="4" spans="1:22" ht="18.75" customHeight="1" thickBot="1" x14ac:dyDescent="0.3">
      <c r="B4" s="13"/>
      <c r="C4" s="13"/>
      <c r="D4" s="13"/>
      <c r="E4" s="13" t="s">
        <v>1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22" ht="39.75" customHeight="1" thickBo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1" t="s">
        <v>15</v>
      </c>
      <c r="P5" s="3" t="s">
        <v>16</v>
      </c>
      <c r="Q5" s="57" t="s">
        <v>17</v>
      </c>
      <c r="R5" s="57" t="s">
        <v>18</v>
      </c>
      <c r="S5" s="57" t="s">
        <v>19</v>
      </c>
      <c r="T5" s="73" t="s">
        <v>20</v>
      </c>
      <c r="U5" s="74" t="s">
        <v>21</v>
      </c>
      <c r="V5" s="74" t="s">
        <v>22</v>
      </c>
    </row>
    <row r="6" spans="1:22" s="6" customFormat="1" ht="51.4" customHeight="1" thickBot="1" x14ac:dyDescent="0.25"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/>
      <c r="I6" s="2" t="s">
        <v>29</v>
      </c>
      <c r="J6" s="2" t="s">
        <v>30</v>
      </c>
      <c r="K6" s="2" t="s">
        <v>31</v>
      </c>
      <c r="L6" s="2" t="s">
        <v>31</v>
      </c>
      <c r="M6" s="2" t="s">
        <v>32</v>
      </c>
      <c r="N6" s="2" t="s">
        <v>33</v>
      </c>
      <c r="O6" s="2" t="s">
        <v>34</v>
      </c>
      <c r="P6" s="24" t="s">
        <v>35</v>
      </c>
      <c r="Q6" s="24"/>
      <c r="R6" s="24"/>
      <c r="S6" s="24"/>
      <c r="T6" s="75"/>
      <c r="U6" s="75"/>
      <c r="V6" s="75" t="s">
        <v>36</v>
      </c>
    </row>
    <row r="7" spans="1:22" ht="18.75" customHeight="1" x14ac:dyDescent="0.2">
      <c r="B7" s="33" t="str">
        <f t="shared" ref="B7:C10" si="0">C54</f>
        <v>PRE_NEW_HIDROGEN</v>
      </c>
      <c r="C7" s="33" t="str">
        <f t="shared" si="0"/>
        <v>Hidrogen energy</v>
      </c>
      <c r="D7" s="34" t="s">
        <v>37</v>
      </c>
      <c r="E7" s="34" t="str">
        <f>C31</f>
        <v>HYDROGEN</v>
      </c>
      <c r="F7" s="33">
        <v>2030</v>
      </c>
      <c r="G7" s="56">
        <v>0.45</v>
      </c>
      <c r="I7" s="33">
        <v>31.536000000000001</v>
      </c>
      <c r="J7" s="35">
        <v>0.92</v>
      </c>
      <c r="K7" s="28">
        <v>2000</v>
      </c>
      <c r="L7" s="28">
        <v>750</v>
      </c>
      <c r="M7" s="33">
        <v>52</v>
      </c>
      <c r="N7" s="36">
        <v>0.4</v>
      </c>
      <c r="O7" s="33">
        <v>30</v>
      </c>
      <c r="P7" s="35">
        <v>1</v>
      </c>
      <c r="Q7" s="60"/>
      <c r="R7" s="60"/>
      <c r="S7" s="60"/>
      <c r="T7" s="60"/>
      <c r="U7" s="60"/>
      <c r="V7" s="60"/>
    </row>
    <row r="8" spans="1:22" ht="18.75" customHeight="1" x14ac:dyDescent="0.2">
      <c r="B8" s="21" t="str">
        <f t="shared" si="0"/>
        <v>STG_HIDROGEN_ALL</v>
      </c>
      <c r="C8" s="21" t="str">
        <f t="shared" si="0"/>
        <v>Storage Hidrogen</v>
      </c>
      <c r="D8" s="18" t="str">
        <f>C31</f>
        <v>HYDROGEN</v>
      </c>
      <c r="E8" s="48" t="str">
        <f>C31</f>
        <v>HYDROGEN</v>
      </c>
      <c r="F8" s="32">
        <v>2030</v>
      </c>
      <c r="G8" s="22"/>
      <c r="H8" s="50">
        <v>0.7</v>
      </c>
      <c r="I8" s="21">
        <v>31.536000000000001</v>
      </c>
      <c r="J8" s="22">
        <v>1</v>
      </c>
      <c r="K8" s="28">
        <v>800</v>
      </c>
      <c r="L8" s="28">
        <v>500</v>
      </c>
      <c r="M8" s="21">
        <v>25</v>
      </c>
      <c r="N8" s="23">
        <v>0.1</v>
      </c>
      <c r="O8" s="21">
        <v>15</v>
      </c>
      <c r="P8" s="22">
        <v>1</v>
      </c>
      <c r="Q8" s="72"/>
      <c r="R8" s="72"/>
      <c r="S8" s="50"/>
      <c r="T8" s="50"/>
      <c r="U8" s="50"/>
      <c r="V8" s="50"/>
    </row>
    <row r="9" spans="1:22" ht="18.75" customHeight="1" x14ac:dyDescent="0.2">
      <c r="B9" s="33" t="str">
        <f t="shared" si="0"/>
        <v>ELE_NEW_HIDROGEN_TURBINE_CCHT</v>
      </c>
      <c r="C9" s="33" t="str">
        <f t="shared" si="0"/>
        <v>Hidrogen turbine fuel</v>
      </c>
      <c r="D9" s="34" t="str">
        <f>C31</f>
        <v>HYDROGEN</v>
      </c>
      <c r="E9" s="34" t="str">
        <f>[2]SEC_Comm!$C$7</f>
        <v>ELEC_HV</v>
      </c>
      <c r="F9" s="33">
        <v>2035</v>
      </c>
      <c r="G9" s="61">
        <v>0.64</v>
      </c>
      <c r="H9" s="35"/>
      <c r="I9" s="33">
        <v>31.536000000000001</v>
      </c>
      <c r="J9" s="35">
        <v>1</v>
      </c>
      <c r="K9" s="62">
        <v>820</v>
      </c>
      <c r="L9" s="28">
        <v>1000</v>
      </c>
      <c r="M9" s="33">
        <v>40</v>
      </c>
      <c r="N9" s="36">
        <v>2.2999999999999998</v>
      </c>
      <c r="O9" s="33">
        <v>15</v>
      </c>
      <c r="P9" s="35">
        <v>1</v>
      </c>
      <c r="Q9" s="59"/>
      <c r="R9" s="59"/>
      <c r="S9" s="60"/>
      <c r="T9" s="60"/>
      <c r="U9" s="60"/>
      <c r="V9" s="60"/>
    </row>
    <row r="10" spans="1:22" ht="18.75" customHeight="1" x14ac:dyDescent="0.2">
      <c r="A10" s="60"/>
      <c r="B10" s="21" t="str">
        <f t="shared" si="0"/>
        <v>NRG_FUEL_CELL_ENGINE</v>
      </c>
      <c r="C10" s="21" t="str">
        <f t="shared" si="0"/>
        <v>Fuel cell of Engine</v>
      </c>
      <c r="D10" s="18" t="str">
        <f>C31</f>
        <v>HYDROGEN</v>
      </c>
      <c r="E10" s="48" t="str">
        <f>C32</f>
        <v>HYDROGEN_ENGINE</v>
      </c>
      <c r="F10" s="32">
        <v>2035</v>
      </c>
      <c r="G10" s="63">
        <v>0.57999999999999996</v>
      </c>
      <c r="H10" s="22"/>
      <c r="I10" s="21">
        <v>31.536000000000001</v>
      </c>
      <c r="J10" s="22">
        <v>1</v>
      </c>
      <c r="K10" s="28">
        <v>3500</v>
      </c>
      <c r="L10" s="28">
        <v>2500</v>
      </c>
      <c r="M10" s="21">
        <v>60</v>
      </c>
      <c r="N10" s="69">
        <v>1.3</v>
      </c>
      <c r="O10" s="21">
        <v>15</v>
      </c>
      <c r="P10" s="22">
        <v>1</v>
      </c>
      <c r="Q10" s="72"/>
      <c r="R10" s="72"/>
      <c r="S10" s="50"/>
      <c r="T10" s="50"/>
      <c r="U10" s="50"/>
      <c r="V10" s="50"/>
    </row>
    <row r="11" spans="1:22" ht="18.75" customHeight="1" x14ac:dyDescent="0.2">
      <c r="B11" s="33" t="str">
        <f>C53</f>
        <v>STG_NEW_HIDRO_STORAGE_PUMP</v>
      </c>
      <c r="C11" s="33" t="str">
        <f>D53</f>
        <v>Hidro Storage Pump</v>
      </c>
      <c r="D11" s="34" t="str">
        <f>E11</f>
        <v>ELEC_HV</v>
      </c>
      <c r="E11" s="16" t="str">
        <f>[2]SEC_Comm!$C$7</f>
        <v>ELEC_HV</v>
      </c>
      <c r="F11" s="33">
        <v>2030</v>
      </c>
      <c r="H11">
        <v>0.8</v>
      </c>
      <c r="I11" s="33">
        <v>31.536000000000001</v>
      </c>
      <c r="J11" s="35">
        <v>1</v>
      </c>
      <c r="K11" s="28">
        <v>2200</v>
      </c>
      <c r="L11" s="28">
        <v>2000</v>
      </c>
      <c r="M11" s="33">
        <v>25</v>
      </c>
      <c r="N11" s="36">
        <v>0</v>
      </c>
      <c r="O11" s="33">
        <v>30</v>
      </c>
      <c r="P11" s="35">
        <v>1</v>
      </c>
      <c r="Q11" s="60"/>
      <c r="R11" s="60"/>
      <c r="S11" s="60"/>
      <c r="T11" s="60"/>
      <c r="U11" s="60"/>
      <c r="V11" s="60"/>
    </row>
    <row r="12" spans="1:22" ht="18.75" customHeight="1" x14ac:dyDescent="0.2">
      <c r="B12" s="21" t="str">
        <f t="shared" ref="B12:C15" si="1">C58</f>
        <v>ELE_NEW_WIND-ON</v>
      </c>
      <c r="C12" s="21" t="str">
        <f t="shared" si="1"/>
        <v>Wind Onshore</v>
      </c>
      <c r="D12" s="18" t="str">
        <f>C97</f>
        <v>WIND-ON</v>
      </c>
      <c r="E12" s="48" t="str">
        <f>[2]SEC_Comm!$C$7</f>
        <v>ELEC_HV</v>
      </c>
      <c r="F12" s="21">
        <v>2025</v>
      </c>
      <c r="G12" s="22">
        <v>1</v>
      </c>
      <c r="H12" s="22"/>
      <c r="I12" s="21">
        <v>31.536000000000001</v>
      </c>
      <c r="J12" s="22">
        <v>1</v>
      </c>
      <c r="K12" s="28">
        <v>1380</v>
      </c>
      <c r="L12" s="28">
        <f>K12</f>
        <v>1380</v>
      </c>
      <c r="M12" s="21">
        <v>35</v>
      </c>
      <c r="N12" s="23">
        <v>0</v>
      </c>
      <c r="O12" s="21">
        <v>25</v>
      </c>
      <c r="P12" s="22">
        <v>0.1</v>
      </c>
      <c r="Q12" s="50"/>
      <c r="R12" s="50"/>
      <c r="S12" s="50"/>
      <c r="T12" s="50"/>
      <c r="U12" s="50"/>
      <c r="V12" s="50"/>
    </row>
    <row r="13" spans="1:22" ht="18.75" customHeight="1" x14ac:dyDescent="0.2">
      <c r="B13" s="14" t="str">
        <f t="shared" si="1"/>
        <v>ELE_NEW_PV</v>
      </c>
      <c r="C13" s="14" t="str">
        <f t="shared" si="1"/>
        <v>Photovoltaics Ground</v>
      </c>
      <c r="D13" s="16" t="str">
        <f>C98</f>
        <v>SOLAR</v>
      </c>
      <c r="E13" s="16" t="str">
        <f>[2]SEC_Comm!$C$7</f>
        <v>ELEC_HV</v>
      </c>
      <c r="F13" s="14">
        <v>2025</v>
      </c>
      <c r="G13" s="19">
        <v>1</v>
      </c>
      <c r="H13" s="19"/>
      <c r="I13" s="14">
        <v>31.536000000000001</v>
      </c>
      <c r="J13" s="19">
        <v>1</v>
      </c>
      <c r="K13" s="28">
        <v>740</v>
      </c>
      <c r="L13" s="28">
        <f>K13</f>
        <v>740</v>
      </c>
      <c r="M13" s="14">
        <v>20</v>
      </c>
      <c r="N13" s="20">
        <v>0</v>
      </c>
      <c r="O13" s="14">
        <v>25</v>
      </c>
      <c r="P13" s="19">
        <v>0.02</v>
      </c>
      <c r="Q13" s="60"/>
      <c r="R13" s="60"/>
      <c r="S13" s="60"/>
      <c r="T13" s="60"/>
      <c r="U13" s="60"/>
      <c r="V13" s="60"/>
    </row>
    <row r="14" spans="1:22" ht="18.75" customHeight="1" x14ac:dyDescent="0.2">
      <c r="B14" s="21" t="str">
        <f t="shared" si="1"/>
        <v>ELE_NEW_AUTOPR_PV</v>
      </c>
      <c r="C14" s="21" t="str">
        <f t="shared" si="1"/>
        <v>Photovoltaics Roof</v>
      </c>
      <c r="D14" s="18" t="str">
        <f>C98</f>
        <v>SOLAR</v>
      </c>
      <c r="E14" s="21" t="s">
        <v>37</v>
      </c>
      <c r="F14" s="21">
        <v>2025</v>
      </c>
      <c r="G14" s="22">
        <v>1</v>
      </c>
      <c r="H14" s="22"/>
      <c r="I14" s="21">
        <v>31.536000000000001</v>
      </c>
      <c r="J14" s="22">
        <v>1</v>
      </c>
      <c r="K14" s="28">
        <v>850</v>
      </c>
      <c r="L14" s="28">
        <f>K14</f>
        <v>850</v>
      </c>
      <c r="M14" s="21">
        <v>20</v>
      </c>
      <c r="N14" s="23">
        <v>0</v>
      </c>
      <c r="O14" s="21">
        <v>25</v>
      </c>
      <c r="P14" s="22">
        <v>0.02</v>
      </c>
      <c r="Q14" s="50"/>
      <c r="R14" s="50"/>
      <c r="S14" s="50"/>
      <c r="T14" s="50"/>
      <c r="U14" s="50"/>
      <c r="V14" s="50"/>
    </row>
    <row r="15" spans="1:22" ht="18.75" customHeight="1" x14ac:dyDescent="0.2">
      <c r="B15" s="21" t="str">
        <f t="shared" si="1"/>
        <v>ELE_NEW_AUTOPR_PV_RES</v>
      </c>
      <c r="C15" s="21" t="str">
        <f t="shared" si="1"/>
        <v>Photovoltaics Roof</v>
      </c>
      <c r="D15" s="18" t="str">
        <f>C98</f>
        <v>SOLAR</v>
      </c>
      <c r="E15" s="18" t="s">
        <v>38</v>
      </c>
      <c r="F15" s="21">
        <v>2025</v>
      </c>
      <c r="G15" s="22">
        <v>1</v>
      </c>
      <c r="H15" s="22"/>
      <c r="I15" s="21">
        <v>31.536000000000001</v>
      </c>
      <c r="J15" s="22">
        <v>1</v>
      </c>
      <c r="K15" s="28">
        <v>1850</v>
      </c>
      <c r="L15" s="28">
        <v>1300</v>
      </c>
      <c r="M15" s="21">
        <v>26</v>
      </c>
      <c r="N15" s="23">
        <v>0</v>
      </c>
      <c r="O15" s="21">
        <v>25</v>
      </c>
      <c r="P15" s="22">
        <v>0.02</v>
      </c>
      <c r="Q15" s="50"/>
      <c r="R15" s="50"/>
      <c r="S15" s="50"/>
      <c r="T15" s="50"/>
      <c r="U15" s="50"/>
      <c r="V15" s="50"/>
    </row>
    <row r="16" spans="1:22" ht="18.75" customHeight="1" x14ac:dyDescent="0.2">
      <c r="B16" s="33" t="str">
        <f>C65</f>
        <v>NEW_ELEC_STG_2H</v>
      </c>
      <c r="C16" s="33" t="str">
        <f>D65</f>
        <v>Electricity Storage</v>
      </c>
      <c r="D16" s="34" t="str">
        <f>E11</f>
        <v>ELEC_HV</v>
      </c>
      <c r="E16" s="34" t="str">
        <f>E11</f>
        <v>ELEC_HV</v>
      </c>
      <c r="F16" s="33">
        <v>2030</v>
      </c>
      <c r="G16" s="35"/>
      <c r="H16" s="60">
        <v>0.85</v>
      </c>
      <c r="I16" s="33">
        <v>31.536000000000001</v>
      </c>
      <c r="J16" s="35">
        <v>0.95</v>
      </c>
      <c r="K16" s="28">
        <v>735</v>
      </c>
      <c r="L16" s="28">
        <v>535</v>
      </c>
      <c r="M16" s="33">
        <v>19</v>
      </c>
      <c r="N16" s="36">
        <v>1E-3</v>
      </c>
      <c r="O16" s="33">
        <v>15</v>
      </c>
      <c r="P16" s="35">
        <v>0.48</v>
      </c>
      <c r="Q16" s="60"/>
      <c r="R16" s="60"/>
      <c r="S16" s="60"/>
      <c r="T16" s="33" t="s">
        <v>39</v>
      </c>
      <c r="U16" s="33">
        <v>1</v>
      </c>
      <c r="V16" s="33"/>
    </row>
    <row r="17" spans="2:22" ht="18.75" customHeight="1" x14ac:dyDescent="0.2">
      <c r="B17" s="33"/>
      <c r="C17" s="33"/>
      <c r="D17" s="34"/>
      <c r="E17" s="34"/>
      <c r="F17" s="33"/>
      <c r="G17" s="35"/>
      <c r="H17" s="60"/>
      <c r="I17" s="33"/>
      <c r="J17" s="35"/>
      <c r="K17" s="28"/>
      <c r="L17" s="28"/>
      <c r="M17" s="33"/>
      <c r="N17" s="36"/>
      <c r="O17" s="33"/>
      <c r="P17" s="35"/>
      <c r="Q17" s="60"/>
      <c r="R17" s="60"/>
      <c r="S17" s="60"/>
      <c r="T17" s="33" t="s">
        <v>40</v>
      </c>
      <c r="U17" s="33">
        <f>V17/24</f>
        <v>8.3333333333333329E-2</v>
      </c>
      <c r="V17" s="33">
        <v>2</v>
      </c>
    </row>
    <row r="18" spans="2:22" ht="18.75" customHeight="1" x14ac:dyDescent="0.2">
      <c r="B18" s="21" t="str">
        <f>C66</f>
        <v>NEW_ELEC_STG_6H</v>
      </c>
      <c r="C18" s="21" t="str">
        <f>D66</f>
        <v>Electricity Storage</v>
      </c>
      <c r="D18" s="18" t="str">
        <f>E12</f>
        <v>ELEC_HV</v>
      </c>
      <c r="E18" s="18" t="str">
        <f>E12</f>
        <v>ELEC_HV</v>
      </c>
      <c r="F18" s="21">
        <v>2030</v>
      </c>
      <c r="G18" s="22"/>
      <c r="H18" s="50">
        <v>0.85</v>
      </c>
      <c r="I18" s="21">
        <v>31.536000000000001</v>
      </c>
      <c r="J18" s="22">
        <v>0.95</v>
      </c>
      <c r="K18" s="28">
        <v>1536</v>
      </c>
      <c r="L18" s="28">
        <v>1336</v>
      </c>
      <c r="M18" s="21">
        <v>39</v>
      </c>
      <c r="N18" s="23">
        <v>1E-3</v>
      </c>
      <c r="O18" s="21">
        <v>15</v>
      </c>
      <c r="P18" s="22">
        <v>0.95</v>
      </c>
      <c r="Q18" s="50"/>
      <c r="R18" s="50"/>
      <c r="S18" s="50"/>
      <c r="T18" s="32" t="s">
        <v>39</v>
      </c>
      <c r="U18" s="32">
        <v>1</v>
      </c>
      <c r="V18" s="50"/>
    </row>
    <row r="19" spans="2:22" ht="18.75" customHeight="1" x14ac:dyDescent="0.2">
      <c r="B19" s="21"/>
      <c r="C19" s="21"/>
      <c r="D19" s="18"/>
      <c r="E19" s="18"/>
      <c r="F19" s="21"/>
      <c r="G19" s="22"/>
      <c r="H19" s="50"/>
      <c r="I19" s="21"/>
      <c r="J19" s="22"/>
      <c r="K19" s="28"/>
      <c r="L19" s="28"/>
      <c r="M19" s="21"/>
      <c r="N19" s="23"/>
      <c r="O19" s="21"/>
      <c r="P19" s="22"/>
      <c r="Q19" s="50"/>
      <c r="R19" s="50"/>
      <c r="S19" s="50"/>
      <c r="T19" s="32" t="s">
        <v>40</v>
      </c>
      <c r="U19" s="32">
        <f>V19/24</f>
        <v>0.25</v>
      </c>
      <c r="V19" s="50">
        <v>6</v>
      </c>
    </row>
    <row r="20" spans="2:22" ht="18.75" customHeight="1" x14ac:dyDescent="0.2">
      <c r="B20" s="33" t="str">
        <f>C67</f>
        <v>NEW_ELEC_STG_8H</v>
      </c>
      <c r="C20" s="33" t="str">
        <f>D67</f>
        <v>Electricity Storage</v>
      </c>
      <c r="D20" s="34" t="str">
        <f>E13</f>
        <v>ELEC_HV</v>
      </c>
      <c r="E20" s="34" t="str">
        <f>E13</f>
        <v>ELEC_HV</v>
      </c>
      <c r="F20" s="33">
        <v>2030</v>
      </c>
      <c r="G20" s="35"/>
      <c r="H20" s="60">
        <v>0.85</v>
      </c>
      <c r="I20" s="33">
        <v>31.536000000000001</v>
      </c>
      <c r="J20" s="35">
        <v>0.95</v>
      </c>
      <c r="K20" s="28">
        <v>1980</v>
      </c>
      <c r="L20" s="28">
        <v>1780</v>
      </c>
      <c r="M20" s="33">
        <v>49</v>
      </c>
      <c r="N20" s="36">
        <v>1E-3</v>
      </c>
      <c r="O20" s="33">
        <v>15</v>
      </c>
      <c r="P20" s="35">
        <v>0.95</v>
      </c>
      <c r="Q20" s="60"/>
      <c r="R20" s="60"/>
      <c r="S20" s="60"/>
      <c r="T20" s="33" t="s">
        <v>39</v>
      </c>
      <c r="U20" s="33">
        <v>1</v>
      </c>
      <c r="V20" s="60"/>
    </row>
    <row r="21" spans="2:22" ht="18.75" customHeight="1" x14ac:dyDescent="0.2">
      <c r="B21" s="33"/>
      <c r="C21" s="33"/>
      <c r="D21" s="34"/>
      <c r="E21" s="34"/>
      <c r="F21" s="33"/>
      <c r="G21" s="35"/>
      <c r="H21" s="60"/>
      <c r="I21" s="33"/>
      <c r="J21" s="35"/>
      <c r="K21" s="28"/>
      <c r="L21" s="28"/>
      <c r="M21" s="33"/>
      <c r="N21" s="36"/>
      <c r="O21" s="33"/>
      <c r="P21" s="35"/>
      <c r="Q21" s="60"/>
      <c r="R21" s="60"/>
      <c r="S21" s="60"/>
      <c r="T21" s="33" t="s">
        <v>40</v>
      </c>
      <c r="U21" s="33">
        <f>V21/24</f>
        <v>0.33333333333333331</v>
      </c>
      <c r="V21" s="60">
        <v>8</v>
      </c>
    </row>
    <row r="22" spans="2:22" ht="18.75" customHeight="1" x14ac:dyDescent="0.2">
      <c r="B22" s="32" t="str">
        <f>C62</f>
        <v>ELE_NEW_BIOGAS-AGR</v>
      </c>
      <c r="C22" s="32" t="str">
        <f>D62</f>
        <v>Biogas Agricultural</v>
      </c>
      <c r="D22" s="32" t="str">
        <f>C35</f>
        <v>BIOGAS</v>
      </c>
      <c r="E22" s="32" t="str">
        <f>[2]SEC_Comm!$C$7</f>
        <v>ELEC_HV</v>
      </c>
      <c r="F22" s="32">
        <v>2025</v>
      </c>
      <c r="G22" s="70">
        <v>0.36</v>
      </c>
      <c r="H22" s="70"/>
      <c r="I22" s="32">
        <v>31.536000000000001</v>
      </c>
      <c r="J22" s="70">
        <v>0.8</v>
      </c>
      <c r="K22" s="28">
        <v>3100</v>
      </c>
      <c r="L22" s="28">
        <f>K22</f>
        <v>3100</v>
      </c>
      <c r="M22" s="32">
        <v>120</v>
      </c>
      <c r="N22" s="69">
        <v>0</v>
      </c>
      <c r="O22" s="32">
        <v>25</v>
      </c>
      <c r="P22" s="70">
        <v>1</v>
      </c>
      <c r="Q22" s="50"/>
      <c r="R22" s="50"/>
      <c r="S22" s="50"/>
      <c r="T22" s="50"/>
      <c r="U22" s="32"/>
      <c r="V22" s="50"/>
    </row>
    <row r="23" spans="2:22" ht="18.75" customHeight="1" thickBot="1" x14ac:dyDescent="0.25">
      <c r="B23" s="66" t="str">
        <f>C63</f>
        <v>ELE_NEW_BIOMASS</v>
      </c>
      <c r="C23" s="66" t="str">
        <f>D63</f>
        <v>Biomass</v>
      </c>
      <c r="D23" s="71" t="str">
        <f>C91</f>
        <v>BIOMASS</v>
      </c>
      <c r="E23" s="66" t="str">
        <f>[2]SEC_Comm!$C$7</f>
        <v>ELEC_HV</v>
      </c>
      <c r="F23" s="66">
        <v>2025</v>
      </c>
      <c r="G23" s="67">
        <v>0.3</v>
      </c>
      <c r="H23" s="67"/>
      <c r="I23" s="66">
        <v>31.536000000000001</v>
      </c>
      <c r="J23" s="67">
        <v>0.8</v>
      </c>
      <c r="K23" s="29">
        <v>2700</v>
      </c>
      <c r="L23" s="29">
        <f>K23</f>
        <v>2700</v>
      </c>
      <c r="M23" s="66">
        <v>115</v>
      </c>
      <c r="N23" s="68">
        <v>0</v>
      </c>
      <c r="O23" s="66">
        <v>30</v>
      </c>
      <c r="P23" s="67">
        <v>1</v>
      </c>
      <c r="Q23" s="67"/>
      <c r="R23" s="67"/>
      <c r="S23" s="67"/>
      <c r="T23" s="67"/>
      <c r="U23" s="67"/>
      <c r="V23" s="67"/>
    </row>
    <row r="25" spans="2:22" x14ac:dyDescent="0.2">
      <c r="B25" s="65"/>
    </row>
    <row r="26" spans="2:22" ht="17.25" customHeight="1" x14ac:dyDescent="0.25">
      <c r="B26" s="7" t="s">
        <v>41</v>
      </c>
      <c r="C26" s="7"/>
      <c r="D26" s="7"/>
    </row>
    <row r="28" spans="2:22" ht="18.75" customHeight="1" thickBot="1" x14ac:dyDescent="0.3">
      <c r="B28" s="13" t="s">
        <v>42</v>
      </c>
      <c r="C28" s="13"/>
      <c r="D28" s="13"/>
      <c r="E28" s="13"/>
      <c r="F28" s="13"/>
      <c r="G28" s="13"/>
      <c r="H28" s="13"/>
      <c r="I28" s="13"/>
    </row>
    <row r="29" spans="2:22" ht="13.5" customHeight="1" thickBot="1" x14ac:dyDescent="0.25">
      <c r="B29" s="3" t="s">
        <v>43</v>
      </c>
      <c r="C29" s="3" t="s">
        <v>44</v>
      </c>
      <c r="D29" s="3" t="s">
        <v>45</v>
      </c>
      <c r="E29" s="3" t="s">
        <v>46</v>
      </c>
      <c r="F29" s="3" t="s">
        <v>47</v>
      </c>
      <c r="G29" s="3" t="s">
        <v>48</v>
      </c>
      <c r="H29" s="3" t="s">
        <v>49</v>
      </c>
      <c r="I29" s="3" t="s">
        <v>50</v>
      </c>
    </row>
    <row r="30" spans="2:22" ht="38.65" customHeight="1" thickBot="1" x14ac:dyDescent="0.25">
      <c r="B30" s="2" t="s">
        <v>51</v>
      </c>
      <c r="C30" s="2" t="s">
        <v>52</v>
      </c>
      <c r="D30" s="2" t="s">
        <v>53</v>
      </c>
      <c r="E30" s="2" t="s">
        <v>46</v>
      </c>
      <c r="F30" s="2" t="s">
        <v>54</v>
      </c>
      <c r="G30" s="2" t="s">
        <v>55</v>
      </c>
      <c r="H30" s="2" t="s">
        <v>56</v>
      </c>
      <c r="I30" s="2" t="s">
        <v>57</v>
      </c>
    </row>
    <row r="31" spans="2:22" ht="18.75" customHeight="1" x14ac:dyDescent="0.2">
      <c r="B31" s="55" t="s">
        <v>39</v>
      </c>
      <c r="C31" s="32" t="s">
        <v>58</v>
      </c>
      <c r="D31" s="55" t="s">
        <v>59</v>
      </c>
      <c r="E31" s="55" t="s">
        <v>60</v>
      </c>
      <c r="F31" s="37"/>
      <c r="G31" s="37"/>
      <c r="H31" s="37"/>
      <c r="I31" s="37"/>
    </row>
    <row r="32" spans="2:22" ht="18.75" customHeight="1" x14ac:dyDescent="0.2">
      <c r="B32" s="76" t="s">
        <v>39</v>
      </c>
      <c r="C32" s="76" t="s">
        <v>61</v>
      </c>
      <c r="D32" s="76" t="s">
        <v>62</v>
      </c>
      <c r="E32" s="76" t="s">
        <v>60</v>
      </c>
      <c r="F32" s="76"/>
      <c r="G32" s="76"/>
      <c r="H32" s="76"/>
      <c r="I32" s="76"/>
    </row>
    <row r="33" spans="2:9" ht="18.75" customHeight="1" x14ac:dyDescent="0.2"/>
    <row r="34" spans="2:9" ht="18.75" customHeight="1" x14ac:dyDescent="0.2"/>
    <row r="35" spans="2:9" ht="18.75" customHeight="1" x14ac:dyDescent="0.2">
      <c r="B35" s="55" t="s">
        <v>39</v>
      </c>
      <c r="C35" s="55" t="s">
        <v>63</v>
      </c>
      <c r="D35" s="54" t="s">
        <v>64</v>
      </c>
      <c r="E35" s="55" t="s">
        <v>60</v>
      </c>
    </row>
    <row r="36" spans="2:9" ht="18.75" customHeight="1" x14ac:dyDescent="0.2">
      <c r="B36" s="39" t="s">
        <v>39</v>
      </c>
      <c r="C36" s="39" t="s">
        <v>65</v>
      </c>
      <c r="D36" s="39" t="s">
        <v>66</v>
      </c>
      <c r="E36" s="51" t="s">
        <v>60</v>
      </c>
      <c r="F36" s="37"/>
      <c r="G36" s="37"/>
      <c r="H36" s="37"/>
      <c r="I36" s="37"/>
    </row>
    <row r="37" spans="2:9" ht="18.75" customHeight="1" x14ac:dyDescent="0.2">
      <c r="B37" s="40" t="s">
        <v>39</v>
      </c>
      <c r="C37" s="41" t="s">
        <v>67</v>
      </c>
      <c r="D37" s="40" t="s">
        <v>68</v>
      </c>
      <c r="E37" s="51" t="s">
        <v>60</v>
      </c>
      <c r="F37" s="51"/>
      <c r="G37" s="51"/>
      <c r="H37" s="51"/>
      <c r="I37" s="51"/>
    </row>
    <row r="38" spans="2:9" ht="18.75" customHeight="1" x14ac:dyDescent="0.2">
      <c r="B38" s="37" t="s">
        <v>39</v>
      </c>
      <c r="C38" s="10" t="s">
        <v>69</v>
      </c>
      <c r="D38" s="9" t="s">
        <v>70</v>
      </c>
      <c r="E38" s="37" t="s">
        <v>60</v>
      </c>
      <c r="F38" s="51"/>
      <c r="G38" s="51"/>
      <c r="H38" s="51"/>
      <c r="I38" s="51"/>
    </row>
    <row r="39" spans="2:9" ht="18.75" customHeight="1" x14ac:dyDescent="0.2">
      <c r="B39" s="45" t="s">
        <v>39</v>
      </c>
      <c r="C39" s="44" t="s">
        <v>71</v>
      </c>
      <c r="D39" s="45" t="s">
        <v>72</v>
      </c>
      <c r="E39" s="51" t="s">
        <v>60</v>
      </c>
      <c r="F39" s="50"/>
      <c r="G39" s="50"/>
      <c r="H39" s="50"/>
      <c r="I39" s="50"/>
    </row>
    <row r="40" spans="2:9" ht="18.75" customHeight="1" x14ac:dyDescent="0.2">
      <c r="B40" s="9" t="s">
        <v>39</v>
      </c>
      <c r="C40" s="10" t="s">
        <v>73</v>
      </c>
      <c r="D40" s="9" t="s">
        <v>74</v>
      </c>
      <c r="E40" s="37" t="s">
        <v>60</v>
      </c>
    </row>
    <row r="41" spans="2:9" ht="18.75" customHeight="1" x14ac:dyDescent="0.2">
      <c r="B41" s="39" t="s">
        <v>39</v>
      </c>
      <c r="C41" s="39" t="s">
        <v>75</v>
      </c>
      <c r="D41" s="39" t="s">
        <v>76</v>
      </c>
      <c r="E41" s="51" t="s">
        <v>60</v>
      </c>
      <c r="F41" s="50"/>
      <c r="G41" s="50"/>
      <c r="H41" s="50"/>
      <c r="I41" s="50"/>
    </row>
    <row r="42" spans="2:9" ht="18.75" customHeight="1" x14ac:dyDescent="0.2">
      <c r="B42" s="46" t="s">
        <v>39</v>
      </c>
      <c r="C42" s="46" t="s">
        <v>77</v>
      </c>
      <c r="D42" s="46" t="s">
        <v>78</v>
      </c>
      <c r="E42" s="37" t="s">
        <v>60</v>
      </c>
    </row>
    <row r="43" spans="2:9" ht="18.75" customHeight="1" x14ac:dyDescent="0.2">
      <c r="F43" s="50"/>
      <c r="G43" s="50"/>
      <c r="H43" s="50"/>
      <c r="I43" s="50"/>
    </row>
    <row r="44" spans="2:9" ht="18.75" customHeight="1" x14ac:dyDescent="0.2"/>
    <row r="45" spans="2:9" ht="18.75" customHeight="1" x14ac:dyDescent="0.2"/>
    <row r="46" spans="2:9" ht="18.75" customHeight="1" x14ac:dyDescent="0.2"/>
    <row r="47" spans="2:9" ht="17.25" customHeight="1" x14ac:dyDescent="0.25">
      <c r="B47" s="8" t="s">
        <v>79</v>
      </c>
      <c r="C47" s="7"/>
      <c r="D47" s="7"/>
    </row>
    <row r="48" spans="2:9" ht="13.15" customHeight="1" x14ac:dyDescent="0.2">
      <c r="B48" s="4"/>
      <c r="C48" s="4"/>
    </row>
    <row r="50" spans="2:9" ht="15" customHeight="1" thickBot="1" x14ac:dyDescent="0.3">
      <c r="B50" s="13" t="s">
        <v>80</v>
      </c>
      <c r="C50" s="13"/>
      <c r="D50" s="13"/>
      <c r="E50" s="13"/>
      <c r="F50" s="13"/>
      <c r="G50" s="13"/>
      <c r="H50" s="13"/>
      <c r="I50" s="13"/>
    </row>
    <row r="51" spans="2:9" ht="13.5" customHeight="1" thickBot="1" x14ac:dyDescent="0.25">
      <c r="B51" s="3" t="s">
        <v>81</v>
      </c>
      <c r="C51" s="3" t="s">
        <v>2</v>
      </c>
      <c r="D51" s="3" t="s">
        <v>82</v>
      </c>
      <c r="E51" s="3" t="s">
        <v>83</v>
      </c>
      <c r="F51" s="3" t="s">
        <v>84</v>
      </c>
      <c r="G51" s="3" t="s">
        <v>85</v>
      </c>
      <c r="H51" s="3" t="s">
        <v>86</v>
      </c>
      <c r="I51" s="3" t="s">
        <v>87</v>
      </c>
    </row>
    <row r="52" spans="2:9" ht="18.75" customHeight="1" thickBot="1" x14ac:dyDescent="0.25">
      <c r="B52" s="2" t="s">
        <v>88</v>
      </c>
      <c r="C52" s="2" t="s">
        <v>89</v>
      </c>
      <c r="D52" s="2" t="s">
        <v>24</v>
      </c>
      <c r="E52" s="2" t="s">
        <v>90</v>
      </c>
      <c r="F52" s="2" t="s">
        <v>91</v>
      </c>
      <c r="G52" s="2" t="s">
        <v>55</v>
      </c>
      <c r="H52" s="2" t="s">
        <v>92</v>
      </c>
      <c r="I52" s="2" t="s">
        <v>93</v>
      </c>
    </row>
    <row r="53" spans="2:9" ht="18.95" customHeight="1" x14ac:dyDescent="0.2">
      <c r="B53" s="33" t="s">
        <v>97</v>
      </c>
      <c r="C53" s="33" t="s">
        <v>98</v>
      </c>
      <c r="D53" s="33" t="s">
        <v>99</v>
      </c>
      <c r="E53" s="33" t="s">
        <v>60</v>
      </c>
      <c r="F53" s="33" t="s">
        <v>95</v>
      </c>
      <c r="G53" s="33" t="s">
        <v>96</v>
      </c>
      <c r="H53" s="33"/>
      <c r="I53" s="33"/>
    </row>
    <row r="54" spans="2:9" ht="18.95" customHeight="1" x14ac:dyDescent="0.2">
      <c r="B54" s="64" t="s">
        <v>100</v>
      </c>
      <c r="C54" s="32" t="s">
        <v>101</v>
      </c>
      <c r="D54" s="32" t="s">
        <v>102</v>
      </c>
      <c r="E54" s="32" t="s">
        <v>60</v>
      </c>
      <c r="F54" s="32" t="s">
        <v>95</v>
      </c>
      <c r="G54" s="32" t="s">
        <v>96</v>
      </c>
      <c r="H54" s="32"/>
      <c r="I54" s="32"/>
    </row>
    <row r="55" spans="2:9" ht="18.95" customHeight="1" x14ac:dyDescent="0.2">
      <c r="B55" s="58" t="s">
        <v>97</v>
      </c>
      <c r="C55" s="33" t="s">
        <v>103</v>
      </c>
      <c r="D55" s="33" t="s">
        <v>104</v>
      </c>
      <c r="E55" s="33" t="s">
        <v>60</v>
      </c>
      <c r="F55" s="33" t="s">
        <v>95</v>
      </c>
      <c r="G55" s="33" t="s">
        <v>96</v>
      </c>
      <c r="H55" s="33"/>
      <c r="I55" s="33"/>
    </row>
    <row r="56" spans="2:9" ht="18.95" customHeight="1" x14ac:dyDescent="0.2">
      <c r="B56" s="64" t="s">
        <v>94</v>
      </c>
      <c r="C56" s="32" t="s">
        <v>105</v>
      </c>
      <c r="D56" s="32" t="s">
        <v>106</v>
      </c>
      <c r="E56" s="32" t="s">
        <v>60</v>
      </c>
      <c r="F56" s="32" t="s">
        <v>95</v>
      </c>
      <c r="G56" s="32" t="s">
        <v>96</v>
      </c>
      <c r="H56" s="32"/>
      <c r="I56" s="32"/>
    </row>
    <row r="57" spans="2:9" ht="18.95" customHeight="1" x14ac:dyDescent="0.2">
      <c r="B57" s="58" t="s">
        <v>39</v>
      </c>
      <c r="C57" s="33" t="s">
        <v>107</v>
      </c>
      <c r="D57" s="33" t="s">
        <v>108</v>
      </c>
      <c r="E57" s="33" t="s">
        <v>60</v>
      </c>
      <c r="F57" s="33" t="s">
        <v>95</v>
      </c>
      <c r="G57" s="33" t="s">
        <v>96</v>
      </c>
      <c r="H57" s="33"/>
      <c r="I57" s="33"/>
    </row>
    <row r="58" spans="2:9" ht="18.75" customHeight="1" x14ac:dyDescent="0.2">
      <c r="B58" s="21" t="s">
        <v>94</v>
      </c>
      <c r="C58" s="21" t="s">
        <v>109</v>
      </c>
      <c r="D58" s="21" t="s">
        <v>110</v>
      </c>
      <c r="E58" s="21" t="s">
        <v>60</v>
      </c>
      <c r="F58" s="21" t="s">
        <v>95</v>
      </c>
      <c r="G58" s="21" t="s">
        <v>96</v>
      </c>
      <c r="H58" s="21"/>
      <c r="I58" s="21"/>
    </row>
    <row r="59" spans="2:9" ht="18.75" customHeight="1" x14ac:dyDescent="0.2">
      <c r="B59" s="14" t="s">
        <v>94</v>
      </c>
      <c r="C59" s="14" t="s">
        <v>111</v>
      </c>
      <c r="D59" s="14" t="s">
        <v>112</v>
      </c>
      <c r="E59" s="14" t="s">
        <v>60</v>
      </c>
      <c r="F59" s="14" t="s">
        <v>95</v>
      </c>
      <c r="G59" s="14" t="s">
        <v>96</v>
      </c>
      <c r="H59" s="14"/>
      <c r="I59" s="14"/>
    </row>
    <row r="60" spans="2:9" ht="18.75" customHeight="1" x14ac:dyDescent="0.2">
      <c r="B60" s="21" t="s">
        <v>94</v>
      </c>
      <c r="C60" s="21" t="s">
        <v>113</v>
      </c>
      <c r="D60" s="21" t="s">
        <v>114</v>
      </c>
      <c r="E60" s="21" t="s">
        <v>60</v>
      </c>
      <c r="F60" s="21" t="s">
        <v>95</v>
      </c>
      <c r="G60" s="21" t="s">
        <v>96</v>
      </c>
      <c r="H60" s="21"/>
      <c r="I60" s="21"/>
    </row>
    <row r="61" spans="2:9" ht="18.75" customHeight="1" x14ac:dyDescent="0.2">
      <c r="B61" s="21" t="s">
        <v>94</v>
      </c>
      <c r="C61" s="21" t="s">
        <v>115</v>
      </c>
      <c r="D61" s="21" t="s">
        <v>114</v>
      </c>
      <c r="E61" s="21" t="s">
        <v>60</v>
      </c>
      <c r="F61" s="21" t="s">
        <v>95</v>
      </c>
      <c r="G61" s="21" t="s">
        <v>96</v>
      </c>
      <c r="H61" s="21"/>
      <c r="I61" s="21"/>
    </row>
    <row r="62" spans="2:9" ht="18.75" customHeight="1" x14ac:dyDescent="0.2">
      <c r="B62" s="14" t="s">
        <v>94</v>
      </c>
      <c r="C62" s="14" t="s">
        <v>116</v>
      </c>
      <c r="D62" s="14" t="s">
        <v>117</v>
      </c>
      <c r="E62" s="14" t="s">
        <v>60</v>
      </c>
      <c r="F62" s="14" t="s">
        <v>95</v>
      </c>
      <c r="G62" s="14" t="s">
        <v>96</v>
      </c>
      <c r="H62" s="14"/>
      <c r="I62" s="14"/>
    </row>
    <row r="63" spans="2:9" ht="18.75" customHeight="1" x14ac:dyDescent="0.2">
      <c r="B63" s="21" t="s">
        <v>94</v>
      </c>
      <c r="C63" s="21" t="s">
        <v>118</v>
      </c>
      <c r="D63" s="21" t="s">
        <v>70</v>
      </c>
      <c r="E63" s="21" t="s">
        <v>60</v>
      </c>
      <c r="F63" s="21" t="s">
        <v>95</v>
      </c>
      <c r="G63" s="21" t="s">
        <v>96</v>
      </c>
      <c r="H63" s="21"/>
      <c r="I63" s="21"/>
    </row>
    <row r="64" spans="2:9" ht="18.75" customHeight="1" x14ac:dyDescent="0.2">
      <c r="B64" s="33" t="s">
        <v>119</v>
      </c>
      <c r="C64" s="33"/>
      <c r="D64" s="33"/>
      <c r="E64" s="33"/>
      <c r="F64" s="33"/>
      <c r="G64" s="33"/>
      <c r="H64" s="33"/>
      <c r="I64" s="33"/>
    </row>
    <row r="65" spans="2:13" ht="18.75" customHeight="1" x14ac:dyDescent="0.2">
      <c r="B65" s="21" t="s">
        <v>97</v>
      </c>
      <c r="C65" s="32" t="s">
        <v>120</v>
      </c>
      <c r="D65" s="32" t="s">
        <v>121</v>
      </c>
      <c r="E65" s="32" t="s">
        <v>60</v>
      </c>
      <c r="F65" s="32" t="s">
        <v>95</v>
      </c>
      <c r="G65" s="32" t="s">
        <v>96</v>
      </c>
      <c r="H65" s="21"/>
      <c r="I65" s="21"/>
    </row>
    <row r="66" spans="2:13" ht="18.75" customHeight="1" x14ac:dyDescent="0.2">
      <c r="B66" s="33" t="s">
        <v>97</v>
      </c>
      <c r="C66" s="14" t="s">
        <v>122</v>
      </c>
      <c r="D66" s="14" t="s">
        <v>121</v>
      </c>
      <c r="E66" s="14" t="s">
        <v>60</v>
      </c>
      <c r="F66" s="14" t="s">
        <v>95</v>
      </c>
      <c r="G66" s="14" t="s">
        <v>96</v>
      </c>
      <c r="H66" s="33"/>
      <c r="I66" s="33"/>
    </row>
    <row r="67" spans="2:13" ht="18.75" customHeight="1" x14ac:dyDescent="0.2">
      <c r="B67" s="21" t="s">
        <v>97</v>
      </c>
      <c r="C67" s="32" t="s">
        <v>123</v>
      </c>
      <c r="D67" s="32" t="s">
        <v>121</v>
      </c>
      <c r="E67" s="32" t="s">
        <v>60</v>
      </c>
      <c r="F67" s="32" t="s">
        <v>95</v>
      </c>
      <c r="G67" s="32" t="s">
        <v>96</v>
      </c>
      <c r="H67" s="21"/>
      <c r="I67" s="21"/>
    </row>
    <row r="68" spans="2:13" ht="18.75" customHeight="1" x14ac:dyDescent="0.2">
      <c r="B68" s="27" t="s">
        <v>124</v>
      </c>
      <c r="C68" s="27"/>
      <c r="D68" s="27"/>
      <c r="E68" s="27"/>
      <c r="F68" s="27"/>
      <c r="G68" s="27"/>
      <c r="H68" s="27"/>
      <c r="I68" s="27"/>
    </row>
    <row r="69" spans="2:13" ht="18.75" customHeight="1" x14ac:dyDescent="0.2">
      <c r="B69" s="21" t="s">
        <v>125</v>
      </c>
      <c r="C69" s="21" t="s">
        <v>126</v>
      </c>
      <c r="D69" s="54" t="s">
        <v>127</v>
      </c>
      <c r="E69" s="21" t="s">
        <v>60</v>
      </c>
      <c r="F69" s="21"/>
      <c r="G69" s="21" t="s">
        <v>128</v>
      </c>
      <c r="H69" s="21"/>
      <c r="I69" s="21"/>
    </row>
    <row r="70" spans="2:13" ht="18.75" customHeight="1" x14ac:dyDescent="0.2">
      <c r="B70" s="14"/>
      <c r="C70" s="25"/>
      <c r="D70" s="14"/>
      <c r="E70" s="14"/>
      <c r="F70" s="14"/>
      <c r="G70" s="14"/>
      <c r="H70" s="14"/>
      <c r="I70" s="14"/>
    </row>
    <row r="71" spans="2:13" ht="18.75" customHeight="1" x14ac:dyDescent="0.2">
      <c r="B71" s="14"/>
      <c r="C71" s="25"/>
      <c r="D71" s="14"/>
      <c r="E71" s="14"/>
      <c r="F71" s="14"/>
      <c r="G71" s="14"/>
      <c r="H71" s="14"/>
      <c r="I71" s="14"/>
    </row>
    <row r="72" spans="2:13" ht="18.75" customHeight="1" x14ac:dyDescent="0.2"/>
    <row r="73" spans="2:13" ht="18.75" customHeight="1" thickBot="1" x14ac:dyDescent="0.25">
      <c r="B73" s="26"/>
      <c r="C73" s="26"/>
      <c r="D73" s="26"/>
      <c r="E73" s="26"/>
      <c r="F73" s="26"/>
      <c r="G73" s="26"/>
      <c r="H73" s="26"/>
      <c r="I73" s="26"/>
      <c r="M73" s="53"/>
    </row>
    <row r="74" spans="2:13" ht="18.75" customHeight="1" x14ac:dyDescent="0.2"/>
    <row r="75" spans="2:13" ht="18.75" customHeight="1" x14ac:dyDescent="0.2"/>
    <row r="76" spans="2:13" ht="15.4" customHeight="1" thickBot="1" x14ac:dyDescent="0.3">
      <c r="B76" s="30"/>
      <c r="C76" s="31" t="s">
        <v>129</v>
      </c>
      <c r="D76" s="13"/>
    </row>
    <row r="77" spans="2:13" ht="13.5" customHeight="1" thickBot="1" x14ac:dyDescent="0.25">
      <c r="B77" s="1" t="s">
        <v>2</v>
      </c>
      <c r="C77" s="1" t="s">
        <v>44</v>
      </c>
      <c r="D77" s="52" t="e">
        <f>#REF!</f>
        <v>#REF!</v>
      </c>
    </row>
    <row r="78" spans="2:13" ht="18.75" customHeight="1" thickBot="1" x14ac:dyDescent="0.25">
      <c r="B78" s="2" t="s">
        <v>23</v>
      </c>
      <c r="C78" s="2" t="s">
        <v>130</v>
      </c>
      <c r="D78" s="2"/>
    </row>
    <row r="79" spans="2:13" ht="18.75" customHeight="1" x14ac:dyDescent="0.2"/>
    <row r="80" spans="2:13" ht="18.75" customHeight="1" x14ac:dyDescent="0.2"/>
    <row r="82" spans="2:14" ht="17.25" customHeight="1" x14ac:dyDescent="0.25">
      <c r="B82" s="7" t="s">
        <v>132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4" spans="2:14" ht="15.4" customHeight="1" thickBot="1" x14ac:dyDescent="0.3">
      <c r="B84" s="13" t="s">
        <v>133</v>
      </c>
      <c r="C84" s="13"/>
      <c r="D84" s="13"/>
      <c r="E84" s="13"/>
      <c r="F84" s="13"/>
      <c r="G84" s="13"/>
      <c r="H84" s="13"/>
      <c r="I84" s="13"/>
    </row>
    <row r="85" spans="2:14" ht="13.5" customHeight="1" thickBot="1" x14ac:dyDescent="0.25">
      <c r="B85" s="15" t="s">
        <v>43</v>
      </c>
      <c r="C85" s="15" t="s">
        <v>44</v>
      </c>
      <c r="D85" s="15" t="s">
        <v>45</v>
      </c>
      <c r="E85" s="15" t="s">
        <v>46</v>
      </c>
      <c r="F85" s="15" t="s">
        <v>47</v>
      </c>
      <c r="G85" s="15" t="s">
        <v>48</v>
      </c>
      <c r="H85" s="15" t="s">
        <v>49</v>
      </c>
      <c r="I85" s="15" t="s">
        <v>50</v>
      </c>
    </row>
    <row r="86" spans="2:14" ht="38.65" customHeight="1" thickBot="1" x14ac:dyDescent="0.25">
      <c r="B86" s="2" t="s">
        <v>51</v>
      </c>
      <c r="C86" s="2" t="s">
        <v>52</v>
      </c>
      <c r="D86" s="2" t="s">
        <v>53</v>
      </c>
      <c r="E86" s="2" t="s">
        <v>46</v>
      </c>
      <c r="F86" s="2" t="s">
        <v>54</v>
      </c>
      <c r="G86" s="2" t="s">
        <v>55</v>
      </c>
      <c r="H86" s="2" t="s">
        <v>56</v>
      </c>
      <c r="I86" s="2" t="s">
        <v>57</v>
      </c>
    </row>
    <row r="87" spans="2:14" x14ac:dyDescent="0.2">
      <c r="B87" s="16" t="s">
        <v>39</v>
      </c>
      <c r="C87" s="44" t="s">
        <v>134</v>
      </c>
      <c r="D87" s="45" t="s">
        <v>135</v>
      </c>
      <c r="E87" s="17" t="s">
        <v>60</v>
      </c>
      <c r="F87" s="16"/>
      <c r="G87" s="16"/>
      <c r="H87" s="16"/>
      <c r="I87" s="16"/>
    </row>
    <row r="88" spans="2:14" x14ac:dyDescent="0.2">
      <c r="B88" s="48" t="s">
        <v>39</v>
      </c>
      <c r="C88" s="10" t="s">
        <v>136</v>
      </c>
      <c r="D88" s="9" t="s">
        <v>137</v>
      </c>
      <c r="E88" s="49" t="s">
        <v>60</v>
      </c>
      <c r="F88" s="48"/>
      <c r="G88" s="48"/>
      <c r="H88" s="48"/>
      <c r="I88" s="48"/>
    </row>
    <row r="89" spans="2:14" x14ac:dyDescent="0.2">
      <c r="B89" s="38" t="s">
        <v>39</v>
      </c>
      <c r="C89" s="41" t="s">
        <v>138</v>
      </c>
      <c r="D89" s="40" t="s">
        <v>139</v>
      </c>
      <c r="E89" s="39" t="s">
        <v>60</v>
      </c>
      <c r="F89" s="38"/>
      <c r="G89" s="38"/>
      <c r="H89" s="38"/>
      <c r="I89" s="38"/>
    </row>
    <row r="90" spans="2:14" x14ac:dyDescent="0.2">
      <c r="B90" s="48" t="s">
        <v>39</v>
      </c>
      <c r="C90" s="10" t="s">
        <v>140</v>
      </c>
      <c r="D90" s="9" t="s">
        <v>141</v>
      </c>
      <c r="E90" s="46" t="s">
        <v>60</v>
      </c>
      <c r="F90" s="48"/>
      <c r="G90" s="48"/>
      <c r="H90" s="48"/>
      <c r="I90" s="48"/>
    </row>
    <row r="91" spans="2:14" x14ac:dyDescent="0.2">
      <c r="B91" s="39" t="s">
        <v>39</v>
      </c>
      <c r="C91" s="44" t="s">
        <v>69</v>
      </c>
      <c r="D91" s="45" t="s">
        <v>70</v>
      </c>
      <c r="E91" s="39" t="s">
        <v>60</v>
      </c>
      <c r="F91" s="39"/>
      <c r="G91" s="39"/>
      <c r="H91" s="39"/>
      <c r="I91" s="39"/>
    </row>
    <row r="92" spans="2:14" x14ac:dyDescent="0.2">
      <c r="B92" s="39" t="s">
        <v>39</v>
      </c>
      <c r="C92" s="44" t="s">
        <v>142</v>
      </c>
      <c r="D92" s="45" t="s">
        <v>59</v>
      </c>
      <c r="E92" s="39" t="s">
        <v>60</v>
      </c>
      <c r="F92" s="39"/>
      <c r="G92" s="39"/>
      <c r="H92" s="39"/>
      <c r="I92" s="39"/>
    </row>
    <row r="93" spans="2:14" x14ac:dyDescent="0.2">
      <c r="B93" s="9" t="s">
        <v>39</v>
      </c>
      <c r="C93" s="10" t="s">
        <v>143</v>
      </c>
      <c r="D93" s="9" t="s">
        <v>144</v>
      </c>
      <c r="E93" s="12" t="s">
        <v>60</v>
      </c>
      <c r="F93" s="11"/>
      <c r="G93" s="11"/>
      <c r="H93" s="11"/>
      <c r="I93" s="11"/>
    </row>
    <row r="94" spans="2:14" x14ac:dyDescent="0.2">
      <c r="B94" s="40" t="s">
        <v>39</v>
      </c>
      <c r="C94" s="44" t="s">
        <v>145</v>
      </c>
      <c r="D94" s="45" t="s">
        <v>146</v>
      </c>
      <c r="E94" s="42" t="s">
        <v>60</v>
      </c>
      <c r="F94" s="43"/>
      <c r="G94" s="43"/>
      <c r="H94" s="43"/>
      <c r="I94" s="43"/>
    </row>
    <row r="95" spans="2:14" x14ac:dyDescent="0.2">
      <c r="B95" s="9" t="s">
        <v>97</v>
      </c>
      <c r="C95" s="10" t="s">
        <v>147</v>
      </c>
      <c r="D95" s="9" t="s">
        <v>146</v>
      </c>
      <c r="E95" s="12" t="s">
        <v>60</v>
      </c>
      <c r="F95" s="11"/>
      <c r="G95" s="11"/>
      <c r="H95" s="11"/>
      <c r="I95" s="11"/>
    </row>
    <row r="96" spans="2:14" x14ac:dyDescent="0.2">
      <c r="B96" s="40" t="s">
        <v>39</v>
      </c>
      <c r="C96" s="44" t="s">
        <v>148</v>
      </c>
      <c r="D96" s="45" t="s">
        <v>149</v>
      </c>
      <c r="E96" s="42" t="s">
        <v>60</v>
      </c>
      <c r="F96" s="43"/>
      <c r="G96" s="43"/>
      <c r="H96" s="43"/>
      <c r="I96" s="43"/>
    </row>
    <row r="97" spans="2:9" x14ac:dyDescent="0.2">
      <c r="B97" s="9" t="s">
        <v>39</v>
      </c>
      <c r="C97" s="10" t="s">
        <v>67</v>
      </c>
      <c r="D97" s="9" t="s">
        <v>68</v>
      </c>
      <c r="E97" s="12" t="s">
        <v>60</v>
      </c>
      <c r="F97" s="11"/>
      <c r="G97" s="11"/>
      <c r="H97" s="11"/>
      <c r="I97" s="11"/>
    </row>
    <row r="98" spans="2:9" x14ac:dyDescent="0.2">
      <c r="B98" s="40" t="s">
        <v>39</v>
      </c>
      <c r="C98" s="44" t="s">
        <v>73</v>
      </c>
      <c r="D98" s="45" t="s">
        <v>74</v>
      </c>
      <c r="E98" s="42" t="s">
        <v>60</v>
      </c>
      <c r="F98" s="43"/>
      <c r="G98" s="43"/>
      <c r="H98" s="43"/>
      <c r="I98" s="43"/>
    </row>
    <row r="99" spans="2:9" x14ac:dyDescent="0.2">
      <c r="B99" s="46" t="s">
        <v>39</v>
      </c>
      <c r="C99" s="46" t="s">
        <v>75</v>
      </c>
      <c r="D99" s="46" t="s">
        <v>76</v>
      </c>
      <c r="E99" s="12" t="s">
        <v>60</v>
      </c>
      <c r="F99" s="11"/>
      <c r="G99" s="46" t="s">
        <v>96</v>
      </c>
      <c r="H99" s="46" t="s">
        <v>128</v>
      </c>
      <c r="I99" s="11" t="s">
        <v>150</v>
      </c>
    </row>
    <row r="100" spans="2:9" x14ac:dyDescent="0.2">
      <c r="B100" s="39" t="s">
        <v>39</v>
      </c>
      <c r="C100" s="39" t="s">
        <v>77</v>
      </c>
      <c r="D100" s="39" t="s">
        <v>78</v>
      </c>
      <c r="E100" s="42" t="s">
        <v>60</v>
      </c>
      <c r="F100" s="43"/>
      <c r="G100" s="39" t="s">
        <v>96</v>
      </c>
      <c r="H100" s="39" t="s">
        <v>128</v>
      </c>
      <c r="I100" s="43" t="s">
        <v>150</v>
      </c>
    </row>
    <row r="101" spans="2:9" x14ac:dyDescent="0.2">
      <c r="B101" s="46" t="s">
        <v>39</v>
      </c>
      <c r="C101" s="46" t="s">
        <v>65</v>
      </c>
      <c r="D101" s="46" t="s">
        <v>66</v>
      </c>
      <c r="E101" s="12" t="s">
        <v>60</v>
      </c>
      <c r="F101" s="11"/>
      <c r="G101" s="46" t="s">
        <v>96</v>
      </c>
      <c r="H101" s="46" t="s">
        <v>128</v>
      </c>
      <c r="I101" s="11" t="s">
        <v>150</v>
      </c>
    </row>
    <row r="102" spans="2:9" x14ac:dyDescent="0.2">
      <c r="B102" s="47" t="s">
        <v>39</v>
      </c>
      <c r="C102" s="47" t="s">
        <v>37</v>
      </c>
      <c r="D102" s="47" t="s">
        <v>151</v>
      </c>
      <c r="E102" s="42" t="s">
        <v>60</v>
      </c>
      <c r="F102" s="43"/>
      <c r="G102" s="39" t="s">
        <v>96</v>
      </c>
      <c r="H102" s="39" t="s">
        <v>128</v>
      </c>
      <c r="I102" s="43" t="s">
        <v>150</v>
      </c>
    </row>
    <row r="103" spans="2:9" x14ac:dyDescent="0.2">
      <c r="B103" s="46" t="s">
        <v>39</v>
      </c>
      <c r="C103" s="46" t="s">
        <v>38</v>
      </c>
      <c r="D103" s="46" t="s">
        <v>151</v>
      </c>
      <c r="E103" s="12" t="s">
        <v>60</v>
      </c>
      <c r="F103" s="11"/>
      <c r="G103" s="46" t="s">
        <v>96</v>
      </c>
      <c r="H103" s="46" t="s">
        <v>128</v>
      </c>
      <c r="I103" s="11" t="s">
        <v>150</v>
      </c>
    </row>
    <row r="104" spans="2:9" x14ac:dyDescent="0.2">
      <c r="B104" s="47" t="s">
        <v>39</v>
      </c>
      <c r="C104" s="47" t="s">
        <v>152</v>
      </c>
      <c r="D104" s="47" t="s">
        <v>153</v>
      </c>
      <c r="E104" s="42" t="s">
        <v>60</v>
      </c>
      <c r="G104" s="39" t="s">
        <v>96</v>
      </c>
      <c r="H104" s="39" t="s">
        <v>128</v>
      </c>
      <c r="I104" s="43" t="s">
        <v>150</v>
      </c>
    </row>
    <row r="105" spans="2:9" x14ac:dyDescent="0.2">
      <c r="B105" s="46" t="s">
        <v>154</v>
      </c>
      <c r="C105" s="46" t="s">
        <v>131</v>
      </c>
      <c r="D105" s="46" t="s">
        <v>155</v>
      </c>
      <c r="E105" s="12"/>
      <c r="F105" s="50"/>
      <c r="G105" s="46" t="s">
        <v>96</v>
      </c>
      <c r="H105" s="46" t="s">
        <v>128</v>
      </c>
      <c r="I105" s="11" t="s">
        <v>150</v>
      </c>
    </row>
  </sheetData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Pier Luca Maria Buonomo</cp:lastModifiedBy>
  <dcterms:created xsi:type="dcterms:W3CDTF">2005-06-03T09:41:13Z</dcterms:created>
  <dcterms:modified xsi:type="dcterms:W3CDTF">2026-07-01T10:21:57Z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