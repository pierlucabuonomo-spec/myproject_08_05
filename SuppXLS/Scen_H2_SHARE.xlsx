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bee2\Desktop\myproject_08_05\SuppXLS\"/>
    </mc:Choice>
  </mc:AlternateContent>
  <xr:revisionPtr revIDLastSave="0" documentId="13_ncr:1_{0F7BF172-CBEC-4B75-BA72-8DCB8214EE9D}" xr6:coauthVersionLast="47" xr6:coauthVersionMax="47" xr10:uidLastSave="{00000000-0000-0000-0000-000000000000}"/>
  <bookViews>
    <workbookView xWindow="2415" yWindow="2175" windowWidth="28230" windowHeight="15345" tabRatio="500" activeTab="1" xr2:uid="{00000000-000D-0000-FFFF-FFFF00000000}"/>
  </bookViews>
  <sheets>
    <sheet name="CALCOLO" sheetId="1" r:id="rId1"/>
    <sheet name="H2_SHAR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1" l="1"/>
  <c r="H18" i="2" s="1"/>
  <c r="G12" i="1"/>
  <c r="H17" i="2" s="1"/>
  <c r="F12" i="1"/>
  <c r="H16" i="2" s="1"/>
  <c r="E12" i="1"/>
  <c r="D12" i="1"/>
  <c r="H8" i="1"/>
  <c r="G8" i="1"/>
  <c r="F8" i="1"/>
  <c r="E8" i="1"/>
  <c r="D8" i="1"/>
  <c r="H8" i="2" s="1"/>
  <c r="H15" i="2"/>
  <c r="H14" i="2"/>
  <c r="H12" i="2"/>
  <c r="H11" i="2"/>
  <c r="H10" i="2"/>
  <c r="H9" i="2"/>
</calcChain>
</file>

<file path=xl/sharedStrings.xml><?xml version="1.0" encoding="utf-8"?>
<sst xmlns="http://schemas.openxmlformats.org/spreadsheetml/2006/main" count="97" uniqueCount="36">
  <si>
    <t>Quote H2 rinormalizzate sulla domanda non elettrica (DMD_FUEL_*)</t>
  </si>
  <si>
    <t>Nessun tag VEDA: foglio non letto dal modello. Celle in blu = input da VT_Model_DMD_01_C2.</t>
  </si>
  <si>
    <t>Settore</t>
  </si>
  <si>
    <t>Grandezza</t>
  </si>
  <si>
    <t>TRS</t>
  </si>
  <si>
    <t>Quota H2 su domanda totale</t>
  </si>
  <si>
    <t>Quota elettrica su domanda totale</t>
  </si>
  <si>
    <t>Quota H2 su domanda non elettrica</t>
  </si>
  <si>
    <t>AGR</t>
  </si>
  <si>
    <t>Quote fisse di HYDROGEN_ENGINE nei processi DMD_FUEL_TRS e DMD_FUEL_AGR</t>
  </si>
  <si>
    <t>~TFM_INS</t>
  </si>
  <si>
    <t>Attribute</t>
  </si>
  <si>
    <t>LimType</t>
  </si>
  <si>
    <t>Pset_PN</t>
  </si>
  <si>
    <t>Cset_CN</t>
  </si>
  <si>
    <t>Other_Indexes</t>
  </si>
  <si>
    <t>Year</t>
  </si>
  <si>
    <t>SAR</t>
  </si>
  <si>
    <t>\I: Attribute</t>
  </si>
  <si>
    <t>Bound</t>
  </si>
  <si>
    <t>Process</t>
  </si>
  <si>
    <t>Commodity</t>
  </si>
  <si>
    <t>Commodity group (CG)</t>
  </si>
  <si>
    <t>Value</t>
  </si>
  <si>
    <t>FLO_SHAR</t>
  </si>
  <si>
    <t>FX</t>
  </si>
  <si>
    <t>DMD_FUEL_TRS</t>
  </si>
  <si>
    <t>HYDROGEN_ENGINE</t>
  </si>
  <si>
    <t>DMD_FUEL_TRS_NRGI</t>
  </si>
  <si>
    <t>DMD_FUEL_AGR</t>
  </si>
  <si>
    <t>DMD_FUEL_AGR_NRGI</t>
  </si>
  <si>
    <t>Note (sotto la tabella, separate da una riga vuota: VEDA non le legge)</t>
  </si>
  <si>
    <t>- Year = 0, valore 1: opzione di interpolazione TIMES "interpola senza estrapolare". Evita che la quota 2030</t>
  </si>
  <si>
    <t xml:space="preserve">  venga estesa all'indietro al 2023-2025, dove le altre quote sommano gia a 1.</t>
  </si>
  <si>
    <t>- Other_Indexes = gruppo di input del processo (&lt;processo&gt;_NRGI), lo stesso indicato dal QA_CHECK (*07).</t>
  </si>
  <si>
    <t>- Per i valori vedere il foglio CALCOLO: quota H2 / (1 - quota elettrica), coerente con VT_Model_DMD_02.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</si>
</sst>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i/>
      <sz val="10"/>
      <color rgb="FF80808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164" fontId="0" fillId="0" borderId="0" xfId="0" applyNumberFormat="1"/>
    <xf numFmtId="0" fontId="6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"/>
  <sheetViews>
    <sheetView zoomScaleNormal="100" workbookViewId="0"/>
  </sheetViews>
  <sheetFormatPr defaultColWidth="8.7109375" defaultRowHeight="15" x14ac:dyDescent="0.25"/>
  <cols>
    <col min="2" max="2" width="9" customWidth="1"/>
    <col min="3" max="3" width="36" customWidth="1"/>
    <col min="4" max="8" width="10" customWidth="1"/>
  </cols>
  <sheetData>
    <row r="2" spans="2:8" ht="15.75" x14ac:dyDescent="0.25">
      <c r="B2" s="1" t="s">
        <v>0</v>
      </c>
    </row>
    <row r="3" spans="2:8" x14ac:dyDescent="0.25">
      <c r="B3" s="2" t="s">
        <v>1</v>
      </c>
    </row>
    <row r="5" spans="2:8" x14ac:dyDescent="0.25">
      <c r="B5" s="3" t="s">
        <v>2</v>
      </c>
      <c r="C5" s="3" t="s">
        <v>3</v>
      </c>
      <c r="D5" s="3">
        <v>2030</v>
      </c>
      <c r="E5" s="3">
        <v>2035</v>
      </c>
      <c r="F5" s="3">
        <v>2040</v>
      </c>
      <c r="G5" s="3">
        <v>2045</v>
      </c>
      <c r="H5" s="3">
        <v>2050</v>
      </c>
    </row>
    <row r="6" spans="2:8" x14ac:dyDescent="0.25">
      <c r="B6" t="s">
        <v>4</v>
      </c>
      <c r="C6" t="s">
        <v>5</v>
      </c>
      <c r="D6" s="4">
        <v>0.01</v>
      </c>
      <c r="E6" s="4">
        <v>0.05</v>
      </c>
      <c r="F6" s="4">
        <v>0.08</v>
      </c>
      <c r="G6" s="4">
        <v>0.14000000000000001</v>
      </c>
      <c r="H6" s="4">
        <v>0.19</v>
      </c>
    </row>
    <row r="7" spans="2:8" x14ac:dyDescent="0.25">
      <c r="B7" t="s">
        <v>4</v>
      </c>
      <c r="C7" t="s">
        <v>6</v>
      </c>
      <c r="D7" s="4">
        <v>0.05</v>
      </c>
      <c r="E7" s="4">
        <v>7.0000000000000007E-2</v>
      </c>
      <c r="F7" s="4">
        <v>0.13</v>
      </c>
      <c r="G7" s="4">
        <v>0.21</v>
      </c>
      <c r="H7" s="4">
        <v>0.35</v>
      </c>
    </row>
    <row r="8" spans="2:8" x14ac:dyDescent="0.25">
      <c r="B8" t="s">
        <v>4</v>
      </c>
      <c r="C8" s="5" t="s">
        <v>7</v>
      </c>
      <c r="D8" s="6">
        <f>D6/(1-D7)</f>
        <v>1.0526315789473686E-2</v>
      </c>
      <c r="E8" s="6">
        <f>E6/(1-E7)</f>
        <v>5.3763440860215062E-2</v>
      </c>
      <c r="F8" s="6">
        <f>F6/(1-F7)</f>
        <v>9.1954022988505746E-2</v>
      </c>
      <c r="G8" s="6">
        <f>G6/(1-G7)</f>
        <v>0.17721518987341772</v>
      </c>
      <c r="H8" s="6">
        <f>H6/(1-H7)</f>
        <v>0.29230769230769232</v>
      </c>
    </row>
    <row r="10" spans="2:8" x14ac:dyDescent="0.25">
      <c r="B10" t="s">
        <v>8</v>
      </c>
      <c r="C10" t="s">
        <v>5</v>
      </c>
      <c r="D10" s="4">
        <v>0.03</v>
      </c>
      <c r="E10" s="4">
        <v>0.09</v>
      </c>
      <c r="F10" s="4">
        <v>0.16</v>
      </c>
      <c r="G10" s="4">
        <v>0.19</v>
      </c>
      <c r="H10" s="4">
        <v>0.25</v>
      </c>
    </row>
    <row r="11" spans="2:8" x14ac:dyDescent="0.25">
      <c r="B11" t="s">
        <v>8</v>
      </c>
      <c r="C11" t="s">
        <v>6</v>
      </c>
      <c r="D11" s="4">
        <v>0.11</v>
      </c>
      <c r="E11" s="4">
        <v>0.14000000000000001</v>
      </c>
      <c r="F11" s="4">
        <v>0.21</v>
      </c>
      <c r="G11" s="4">
        <v>0.25</v>
      </c>
      <c r="H11" s="4">
        <v>0.3</v>
      </c>
    </row>
    <row r="12" spans="2:8" x14ac:dyDescent="0.25">
      <c r="B12" t="s">
        <v>8</v>
      </c>
      <c r="C12" s="5" t="s">
        <v>7</v>
      </c>
      <c r="D12" s="6">
        <f>D10/(1-D11)</f>
        <v>3.3707865168539325E-2</v>
      </c>
      <c r="E12" s="6">
        <f>E10/(1-E11)</f>
        <v>0.10465116279069767</v>
      </c>
      <c r="F12" s="6">
        <f>F10/(1-F11)</f>
        <v>0.20253164556962025</v>
      </c>
      <c r="G12" s="6">
        <f>G10/(1-G11)</f>
        <v>0.25333333333333335</v>
      </c>
      <c r="H12" s="6">
        <f>H10/(1-H11)</f>
        <v>0.35714285714285715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4"/>
  <sheetViews>
    <sheetView tabSelected="1" zoomScaleNormal="100" workbookViewId="0">
      <selection activeCell="F29" sqref="F29"/>
    </sheetView>
  </sheetViews>
  <sheetFormatPr defaultColWidth="8.7109375" defaultRowHeight="15" x14ac:dyDescent="0.25"/>
  <cols>
    <col min="2" max="2" width="17.5703125" customWidth="1"/>
    <col min="3" max="3" width="8" customWidth="1"/>
    <col min="4" max="4" width="15" customWidth="1"/>
    <col min="5" max="5" width="23.42578125" customWidth="1"/>
    <col min="6" max="6" width="29.5703125" customWidth="1"/>
    <col min="7" max="7" width="7" customWidth="1"/>
    <col min="8" max="8" width="10" customWidth="1"/>
  </cols>
  <sheetData>
    <row r="2" spans="2:8" ht="15.75" x14ac:dyDescent="0.25">
      <c r="B2" s="1" t="s">
        <v>9</v>
      </c>
    </row>
    <row r="4" spans="2:8" x14ac:dyDescent="0.25">
      <c r="B4" s="9" t="s">
        <v>10</v>
      </c>
    </row>
    <row r="5" spans="2:8" x14ac:dyDescent="0.25"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2:8" x14ac:dyDescent="0.25"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16</v>
      </c>
      <c r="H6" s="2" t="s">
        <v>23</v>
      </c>
    </row>
    <row r="7" spans="2:8" x14ac:dyDescent="0.25"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7">
        <v>0</v>
      </c>
      <c r="H7" s="7">
        <v>1</v>
      </c>
    </row>
    <row r="8" spans="2:8" x14ac:dyDescent="0.25">
      <c r="B8" s="7" t="s">
        <v>24</v>
      </c>
      <c r="C8" s="7" t="s">
        <v>25</v>
      </c>
      <c r="D8" s="7" t="s">
        <v>26</v>
      </c>
      <c r="E8" s="7" t="s">
        <v>27</v>
      </c>
      <c r="F8" s="7" t="s">
        <v>28</v>
      </c>
      <c r="G8" s="7">
        <v>2030</v>
      </c>
      <c r="H8" s="8">
        <f>CALCOLO!D8</f>
        <v>1.0526315789473686E-2</v>
      </c>
    </row>
    <row r="9" spans="2:8" x14ac:dyDescent="0.25">
      <c r="B9" s="7" t="s">
        <v>24</v>
      </c>
      <c r="C9" s="7" t="s">
        <v>25</v>
      </c>
      <c r="D9" s="7" t="s">
        <v>26</v>
      </c>
      <c r="E9" s="7" t="s">
        <v>27</v>
      </c>
      <c r="F9" s="7" t="s">
        <v>28</v>
      </c>
      <c r="G9" s="7">
        <v>2035</v>
      </c>
      <c r="H9" s="8">
        <f>CALCOLO!E8</f>
        <v>5.3763440860215062E-2</v>
      </c>
    </row>
    <row r="10" spans="2:8" x14ac:dyDescent="0.25">
      <c r="B10" s="7" t="s">
        <v>24</v>
      </c>
      <c r="C10" s="7" t="s">
        <v>25</v>
      </c>
      <c r="D10" s="7" t="s">
        <v>26</v>
      </c>
      <c r="E10" s="7" t="s">
        <v>27</v>
      </c>
      <c r="F10" s="7" t="s">
        <v>28</v>
      </c>
      <c r="G10" s="7">
        <v>2040</v>
      </c>
      <c r="H10" s="8">
        <f>CALCOLO!F8</f>
        <v>9.1954022988505746E-2</v>
      </c>
    </row>
    <row r="11" spans="2:8" x14ac:dyDescent="0.25">
      <c r="B11" s="7" t="s">
        <v>24</v>
      </c>
      <c r="C11" s="7" t="s">
        <v>25</v>
      </c>
      <c r="D11" s="7" t="s">
        <v>26</v>
      </c>
      <c r="E11" s="7" t="s">
        <v>27</v>
      </c>
      <c r="F11" s="7" t="s">
        <v>28</v>
      </c>
      <c r="G11" s="7">
        <v>2045</v>
      </c>
      <c r="H11" s="8">
        <f>CALCOLO!G8</f>
        <v>0.17721518987341772</v>
      </c>
    </row>
    <row r="12" spans="2:8" x14ac:dyDescent="0.25">
      <c r="B12" s="7" t="s">
        <v>24</v>
      </c>
      <c r="C12" s="7" t="s">
        <v>25</v>
      </c>
      <c r="D12" s="7" t="s">
        <v>26</v>
      </c>
      <c r="E12" s="7" t="s">
        <v>27</v>
      </c>
      <c r="F12" s="7" t="s">
        <v>28</v>
      </c>
      <c r="G12" s="7">
        <v>2050</v>
      </c>
      <c r="H12" s="8">
        <f>CALCOLO!H8</f>
        <v>0.29230769230769232</v>
      </c>
    </row>
    <row r="13" spans="2:8" x14ac:dyDescent="0.25">
      <c r="B13" s="7" t="s">
        <v>24</v>
      </c>
      <c r="C13" s="7" t="s">
        <v>25</v>
      </c>
      <c r="D13" s="7" t="s">
        <v>29</v>
      </c>
      <c r="E13" s="7" t="s">
        <v>27</v>
      </c>
      <c r="F13" s="7" t="s">
        <v>30</v>
      </c>
      <c r="G13" s="7">
        <v>0</v>
      </c>
      <c r="H13" s="7">
        <v>1</v>
      </c>
    </row>
    <row r="14" spans="2:8" x14ac:dyDescent="0.25">
      <c r="B14" s="7" t="s">
        <v>24</v>
      </c>
      <c r="C14" s="7" t="s">
        <v>25</v>
      </c>
      <c r="D14" s="7" t="s">
        <v>29</v>
      </c>
      <c r="E14" s="7" t="s">
        <v>27</v>
      </c>
      <c r="F14" s="7" t="s">
        <v>30</v>
      </c>
      <c r="G14" s="7">
        <v>2030</v>
      </c>
      <c r="H14" s="8">
        <f>CALCOLO!D12</f>
        <v>3.3707865168539325E-2</v>
      </c>
    </row>
    <row r="15" spans="2:8" x14ac:dyDescent="0.25">
      <c r="B15" s="7" t="s">
        <v>24</v>
      </c>
      <c r="C15" s="7" t="s">
        <v>25</v>
      </c>
      <c r="D15" s="7" t="s">
        <v>29</v>
      </c>
      <c r="E15" s="7" t="s">
        <v>27</v>
      </c>
      <c r="F15" s="7" t="s">
        <v>30</v>
      </c>
      <c r="G15" s="7">
        <v>2035</v>
      </c>
      <c r="H15" s="8">
        <f>CALCOLO!E12</f>
        <v>0.10465116279069767</v>
      </c>
    </row>
    <row r="16" spans="2:8" x14ac:dyDescent="0.25">
      <c r="B16" s="7" t="s">
        <v>24</v>
      </c>
      <c r="C16" s="7" t="s">
        <v>25</v>
      </c>
      <c r="D16" s="7" t="s">
        <v>29</v>
      </c>
      <c r="E16" s="7" t="s">
        <v>27</v>
      </c>
      <c r="F16" s="7" t="s">
        <v>30</v>
      </c>
      <c r="G16" s="7">
        <v>2040</v>
      </c>
      <c r="H16" s="8">
        <f>CALCOLO!F12</f>
        <v>0.20253164556962025</v>
      </c>
    </row>
    <row r="17" spans="2:8" x14ac:dyDescent="0.25">
      <c r="B17" s="7" t="s">
        <v>24</v>
      </c>
      <c r="C17" s="7" t="s">
        <v>25</v>
      </c>
      <c r="D17" s="7" t="s">
        <v>29</v>
      </c>
      <c r="E17" s="7" t="s">
        <v>27</v>
      </c>
      <c r="F17" s="7" t="s">
        <v>30</v>
      </c>
      <c r="G17" s="7">
        <v>2045</v>
      </c>
      <c r="H17" s="8">
        <f>CALCOLO!G12</f>
        <v>0.25333333333333335</v>
      </c>
    </row>
    <row r="18" spans="2:8" x14ac:dyDescent="0.25">
      <c r="B18" s="7" t="s">
        <v>24</v>
      </c>
      <c r="C18" s="7" t="s">
        <v>25</v>
      </c>
      <c r="D18" s="7" t="s">
        <v>29</v>
      </c>
      <c r="E18" s="7" t="s">
        <v>27</v>
      </c>
      <c r="F18" s="7" t="s">
        <v>30</v>
      </c>
      <c r="G18" s="7">
        <v>2050</v>
      </c>
      <c r="H18" s="8">
        <f>CALCOLO!H12</f>
        <v>0.35714285714285715</v>
      </c>
    </row>
    <row r="20" spans="2:8" x14ac:dyDescent="0.25">
      <c r="B20" s="2" t="s">
        <v>31</v>
      </c>
    </row>
    <row r="21" spans="2:8" x14ac:dyDescent="0.25">
      <c r="B21" s="2" t="s">
        <v>32</v>
      </c>
    </row>
    <row r="22" spans="2:8" x14ac:dyDescent="0.25">
      <c r="B22" s="2" t="s">
        <v>33</v>
      </c>
    </row>
    <row r="23" spans="2:8" x14ac:dyDescent="0.25">
      <c r="B23" s="2" t="s">
        <v>34</v>
      </c>
    </row>
    <row r="24" spans="2:8" x14ac:dyDescent="0.25">
      <c r="B24" s="2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CALCOLO</vt:lpstr>
      <vt:lpstr>H2_SHARE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Pier Luca Maria Buonomo</cp:lastModifiedBy>
  <cp:revision>0</cp:revision>
  <dcterms:created xsi:type="dcterms:W3CDTF">2026-10-07T07:22:31Z</dcterms:created>
  <dcterms:modified xsi:type="dcterms:W3CDTF">2026-10-07T08:45:15Z</dcterms:modified>
  <dc:language>en-US</dc:language>
</cp:coreProperties>
</file>