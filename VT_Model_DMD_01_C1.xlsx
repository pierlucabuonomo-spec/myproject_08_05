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8_{EC7F702F-755B-4CCC-8530-13052656561E}" xr6:coauthVersionLast="47" xr6:coauthVersionMax="47" xr10:uidLastSave="{00000000-0000-0000-0000-000000000000}"/>
  <bookViews>
    <workbookView xWindow="25695" yWindow="0" windowWidth="26010" windowHeight="20985" tabRatio="901" activeTab="4" xr2:uid="{00000000-000D-0000-FFFF-FFFF00000000}"/>
  </bookViews>
  <sheets>
    <sheet name="BALANCE" sheetId="142" r:id="rId1"/>
    <sheet name="SEC_Comm" sheetId="112" r:id="rId2"/>
    <sheet name="SEC_Processes" sheetId="140" r:id="rId3"/>
    <sheet name="FINAL_DEMAD_PRC" sheetId="139" r:id="rId4"/>
    <sheet name="DEMAND" sheetId="128" r:id="rId5"/>
    <sheet name="EMI" sheetId="14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Order1">0</definedName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39" l="1"/>
  <c r="F35" i="139"/>
  <c r="G35" i="139"/>
  <c r="H35" i="139"/>
  <c r="I35" i="139"/>
  <c r="J35" i="139"/>
  <c r="K35" i="139"/>
  <c r="F28" i="139"/>
  <c r="F27" i="139"/>
  <c r="F26" i="139"/>
  <c r="F25" i="139"/>
  <c r="D25" i="139"/>
  <c r="G21" i="139" l="1" a="1"/>
  <c r="E23" i="139"/>
  <c r="G25" i="139" a="1"/>
  <c r="G25" i="139" s="1"/>
  <c r="E29" i="139"/>
  <c r="G21" i="139" l="1"/>
  <c r="F21" i="139"/>
  <c r="F22" i="139"/>
  <c r="E24" i="139" l="1"/>
  <c r="E30" i="139"/>
  <c r="B7" i="143"/>
  <c r="B8" i="143"/>
  <c r="B9" i="143"/>
  <c r="B10" i="143"/>
  <c r="B6" i="143"/>
  <c r="D20" i="139"/>
  <c r="D19" i="139"/>
  <c r="D14" i="139"/>
  <c r="D13" i="139"/>
  <c r="D8" i="139" l="1"/>
  <c r="C11" i="128"/>
  <c r="C10" i="128" l="1"/>
  <c r="C9" i="128" l="1"/>
  <c r="C8" i="128" l="1"/>
  <c r="C7" i="128" l="1"/>
  <c r="F10" i="139" l="1"/>
  <c r="F9" i="139"/>
  <c r="F8" i="139"/>
  <c r="F7" i="139"/>
  <c r="G10" i="139" a="1"/>
  <c r="G10" i="139" s="1"/>
  <c r="G9" i="139" a="1"/>
  <c r="G9" i="139" s="1"/>
  <c r="G8" i="139" a="1"/>
  <c r="G8" i="139" s="1"/>
  <c r="G7" i="139" a="1"/>
  <c r="G7" i="139" s="1"/>
  <c r="G20" i="139" l="1" a="1"/>
  <c r="G20" i="139" s="1"/>
  <c r="G19" i="139" a="1"/>
  <c r="G19" i="139" s="1"/>
  <c r="G18" i="139" a="1"/>
  <c r="G18" i="139" s="1"/>
  <c r="G17" i="139" a="1"/>
  <c r="G17" i="139" s="1"/>
  <c r="F20" i="139"/>
  <c r="F19" i="139"/>
  <c r="F18" i="139"/>
  <c r="F17" i="139"/>
  <c r="G16" i="139" l="1" a="1"/>
  <c r="G16" i="139" s="1"/>
  <c r="G15" i="139" a="1"/>
  <c r="G15" i="139" s="1"/>
  <c r="G14" i="139" a="1"/>
  <c r="G14" i="139" s="1"/>
  <c r="G13" i="139" a="1"/>
  <c r="G13" i="139" s="1"/>
  <c r="G12" i="139" a="1"/>
  <c r="G12" i="139" s="1"/>
  <c r="G11" i="139" a="1"/>
  <c r="G11" i="139" s="1"/>
  <c r="F16" i="139"/>
  <c r="F15" i="139"/>
  <c r="F14" i="139"/>
  <c r="F13" i="139"/>
  <c r="F12" i="139"/>
  <c r="F11" i="139"/>
  <c r="E8" i="139" l="1"/>
  <c r="E9" i="139"/>
  <c r="E10" i="139"/>
  <c r="E7" i="139"/>
  <c r="B11" i="128" l="1"/>
  <c r="B7" i="128"/>
  <c r="B8" i="128"/>
  <c r="B9" i="128"/>
  <c r="B10" i="128"/>
  <c r="E26" i="139" l="1"/>
  <c r="E27" i="139"/>
  <c r="E28" i="139"/>
  <c r="E25" i="139"/>
  <c r="C25" i="139" l="1"/>
  <c r="B25" i="139"/>
  <c r="E22" i="139"/>
  <c r="E21" i="139"/>
  <c r="C21" i="139"/>
  <c r="B21" i="139"/>
  <c r="E18" i="139" l="1"/>
  <c r="E19" i="139"/>
  <c r="E20" i="139"/>
  <c r="E17" i="139"/>
  <c r="C17" i="139"/>
  <c r="B17" i="139"/>
  <c r="E12" i="139"/>
  <c r="E13" i="139"/>
  <c r="E14" i="139"/>
  <c r="E15" i="139"/>
  <c r="E16" i="139"/>
  <c r="E11" i="139"/>
  <c r="D15" i="139"/>
  <c r="D16" i="139"/>
  <c r="C11" i="139"/>
  <c r="B11" i="139" l="1"/>
  <c r="D10" i="139"/>
  <c r="D9" i="139"/>
  <c r="C7" i="139" l="1"/>
  <c r="B7" i="139"/>
  <c r="D17" i="139"/>
  <c r="D7" i="139"/>
  <c r="D11" i="139"/>
  <c r="H14" i="142" l="1"/>
  <c r="G14" i="142"/>
  <c r="D14" i="142"/>
  <c r="F14" i="142" l="1"/>
  <c r="E14" i="1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<sst xmlns="http://schemas.openxmlformats.org/spreadsheetml/2006/main" count="286" uniqueCount="185">
  <si>
    <t>* Energy Balance / Bilans energii</t>
  </si>
  <si>
    <t>Table 1: Simple energy balance of Sardinia energy system in 2023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</si>
  <si>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</si>
  <si>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</si>
  <si>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</si>
  <si>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</si>
  <si>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</si>
  <si>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</si>
  <si>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</si>
  <si>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</si>
  <si>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</si>
  <si>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</si>
  <si>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</si>
  <si>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</si>
  <si>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</si>
  <si>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</si>
  <si>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</si>
  <si>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</si>
  <si>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</si>
  <si>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</si>
  <si>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</si>
  <si>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</si>
  <si>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</si>
  <si>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</si>
  <si>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</si>
  <si>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</si>
  <si>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</si>
  <si>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</si>
  <si>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</si>
  <si>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</si>
  <si>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</si>
  <si>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</si>
  <si>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</si>
  <si>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</si>
  <si>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</si>
  <si>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2023</t>
  </si>
  <si>
    <t>Transmission and distribution</t>
  </si>
  <si>
    <t>Efficiency</t>
  </si>
  <si>
    <t>Electric energy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</si>
  <si>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</si>
  <si>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</si>
  <si>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</si>
  <si>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</si>
  <si>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</si>
  <si>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</si>
  <si>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Unit</t>
  </si>
  <si>
    <t>Final energy demand</t>
  </si>
  <si>
    <t>[TWh]</t>
  </si>
  <si>
    <t>Define Commodities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</si>
  <si>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</si>
  <si>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</si>
  <si>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</si>
  <si>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</si>
  <si>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</si>
  <si>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</si>
  <si>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</si>
  <si>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</si>
  <si>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</si>
  <si>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</si>
  <si>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</si>
  <si>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</si>
  <si>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</si>
  <si>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</si>
  <si>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</si>
  <si>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DEM</t>
  </si>
  <si>
    <t>PJ</t>
  </si>
  <si>
    <t>DAYNITE</t>
  </si>
  <si>
    <t>NRG</t>
  </si>
  <si>
    <t>ELEC_MV</t>
  </si>
  <si>
    <t>ELEC_LV</t>
  </si>
  <si>
    <t>Electricity - Energy Low Voltage</t>
  </si>
  <si>
    <t>Electricity - Final Energy Residential</t>
  </si>
  <si>
    <t>Electricity - Final Energy Industrial</t>
  </si>
  <si>
    <t>Electricity - Final Energy Service</t>
  </si>
  <si>
    <t>Electricity - Final Energy Agriculture</t>
  </si>
  <si>
    <t>Electricity - Final Energy Transport</t>
  </si>
  <si>
    <t>Copy from ELC</t>
  </si>
  <si>
    <t>No tag - won't be read by Veda</t>
  </si>
  <si>
    <t>ELEC_HV</t>
  </si>
  <si>
    <t>Hight Voltage Electricity &gt; 110 kV)</t>
  </si>
  <si>
    <t>Medium Voltage Electricity (10 - 60 kV)</t>
  </si>
  <si>
    <t>Low Voltage Electricity (&lt; 1kV)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</si>
  <si>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</si>
  <si>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</si>
  <si>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</si>
  <si>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</si>
  <si>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</si>
  <si>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</si>
  <si>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</si>
  <si>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</si>
  <si>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</si>
  <si>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</si>
  <si>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</si>
  <si>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</si>
  <si>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</si>
  <si>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</si>
  <si>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</si>
  <si>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</si>
  <si>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</si>
  <si>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</si>
  <si>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</si>
  <si>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SAR</t>
  </si>
  <si>
    <t>PJa</t>
  </si>
  <si>
    <t>ELE_DMD_RES</t>
  </si>
  <si>
    <t>Electricity - Final Energy Demand Residential</t>
  </si>
  <si>
    <t>ELE_DMD_IND</t>
  </si>
  <si>
    <t>Electricity - Final Energy Demand Industrial</t>
  </si>
  <si>
    <t>ELE_DMD_SER</t>
  </si>
  <si>
    <t>Electricity - Final Energy Demand Service</t>
  </si>
  <si>
    <t>ELE_DMD_AGR</t>
  </si>
  <si>
    <t>Electricity - Final Energy Demand Agriculture</t>
  </si>
  <si>
    <t>ELE_DMD_TRS</t>
  </si>
  <si>
    <t>Electricity - Final Energy Demand Transport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</si>
  <si>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</si>
  <si>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</si>
  <si>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</si>
  <si>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</si>
  <si>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</si>
  <si>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</si>
  <si>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</si>
  <si>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</si>
  <si>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</si>
  <si>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</si>
  <si>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</si>
  <si>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Should have a Commodity of type DEM at its output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</si>
  <si>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</si>
  <si>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</si>
  <si>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</si>
  <si>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</si>
  <si>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</si>
  <si>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</si>
  <si>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</si>
  <si>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</si>
  <si>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HPL</t>
  </si>
  <si>
    <t>Heat Only Plant</t>
  </si>
  <si>
    <t>Final Energy Consumption Technologies</t>
  </si>
  <si>
    <t>~FI_T</t>
  </si>
  <si>
    <t>*TechDesc</t>
  </si>
  <si>
    <t>Comm-IN</t>
  </si>
  <si>
    <t>Comm-OUT</t>
  </si>
  <si>
    <t>EFF</t>
  </si>
  <si>
    <t>CAP2ACT</t>
  </si>
  <si>
    <t>\I: Technology Name</t>
  </si>
  <si>
    <t>Commodity Input</t>
  </si>
  <si>
    <t>Commodity Output</t>
  </si>
  <si>
    <t>Capacity to Activity Factor</t>
  </si>
  <si>
    <t>EFFICIENTAL SECTOR</t>
  </si>
  <si>
    <t>Demand</t>
  </si>
  <si>
    <t>~FI_T:DEMAND</t>
  </si>
  <si>
    <t>\I: Commodity Name</t>
  </si>
  <si>
    <t>Annual Demand Value [PJ/a]</t>
  </si>
  <si>
    <t>5-year change (demand forecast)</t>
  </si>
  <si>
    <t>Fossil diesel final energy Residential</t>
  </si>
  <si>
    <t>Fossil oil gas liquid final energy Residential</t>
  </si>
  <si>
    <t>Fossil natural liquid gas final energy Residential</t>
  </si>
  <si>
    <t>Fossil fuel oil Industrial</t>
  </si>
  <si>
    <t>Fossil solid fuel industrial</t>
  </si>
  <si>
    <t>Fossil gasoline final energy transport</t>
  </si>
  <si>
    <t>Renewable hidrogen final energy transport</t>
  </si>
  <si>
    <t>DEM_FIN_RES</t>
  </si>
  <si>
    <t>DEM_FIN_IND</t>
  </si>
  <si>
    <t>DEM_FIN_SER</t>
  </si>
  <si>
    <t>DEM_FIN_AGR</t>
  </si>
  <si>
    <t>DEM_FIN_TRS</t>
  </si>
  <si>
    <t>???????</t>
  </si>
  <si>
    <t>Share-I ~2025</t>
  </si>
  <si>
    <t>Share-I ~2030</t>
  </si>
  <si>
    <t>Share-I ~2035</t>
  </si>
  <si>
    <t>Share-I ~2040</t>
  </si>
  <si>
    <t>Share-I ~2045</t>
  </si>
  <si>
    <t>Share-I ~2050</t>
  </si>
  <si>
    <t>Share-I ~2023</t>
  </si>
  <si>
    <t>DIESEL</t>
  </si>
  <si>
    <t>OGL</t>
  </si>
  <si>
    <t>NLG</t>
  </si>
  <si>
    <t>SOLID</t>
  </si>
  <si>
    <t>GASOLINE</t>
  </si>
  <si>
    <t>HIDROGEN</t>
  </si>
  <si>
    <t>ELEC_LV_DIST</t>
  </si>
  <si>
    <t>FUEL_OIL</t>
  </si>
  <si>
    <t>~PRCCOMEMI</t>
  </si>
  <si>
    <t>Commodity Name (Pollutant)</t>
  </si>
  <si>
    <t>Emission factor [kt/PJ]</t>
  </si>
  <si>
    <t>CO2</t>
  </si>
  <si>
    <t>HYDROGEN_ENGINE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</si>
</sst>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#,##0___)"/>
    <numFmt numFmtId="166" formatCode="0.000"/>
    <numFmt numFmtId="167" formatCode="0.000%"/>
  </numFmts>
  <fonts count="31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vertAlign val="superscript"/>
      <sz val="10"/>
      <name val="Times New Roman"/>
      <family val="1"/>
      <charset val="238"/>
    </font>
    <font>
      <sz val="12"/>
      <name val="Times New Roman"/>
      <family val="1"/>
      <charset val="238"/>
    </font>
    <font>
      <sz val="14"/>
      <name val="Times New Roman"/>
      <family val="1"/>
      <charset val="238"/>
    </font>
    <font>
      <sz val="10"/>
      <color theme="0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rgb="FFFF0000"/>
      <name val="Times New Roman"/>
      <family val="1"/>
      <charset val="238"/>
    </font>
    <font>
      <sz val="10"/>
      <color rgb="FFFF0000"/>
      <name val="Arial"/>
      <family val="2"/>
    </font>
    <font>
      <u/>
      <sz val="10"/>
      <color rgb="FF000000"/>
      <name val="Arial"/>
      <family val="2"/>
      <charset val="238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9" fontId="12" fillId="0" borderId="0" applyFont="0" applyFill="0" applyBorder="0" applyAlignment="0" applyProtection="0"/>
    <xf numFmtId="0" fontId="12" fillId="0" borderId="0"/>
    <xf numFmtId="0" fontId="20" fillId="0" borderId="0"/>
    <xf numFmtId="0" fontId="21" fillId="0" borderId="0"/>
    <xf numFmtId="9" fontId="24" fillId="0" borderId="0" applyFont="0" applyFill="0" applyBorder="0" applyAlignment="0" applyProtection="0"/>
  </cellStyleXfs>
  <cellXfs count="99">
    <xf numFmtId="0" fontId="0" fillId="0" borderId="0" xfId="0"/>
    <xf numFmtId="0" fontId="18" fillId="0" borderId="11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/>
    </xf>
    <xf numFmtId="9" fontId="0" fillId="0" borderId="0" xfId="3" applyFont="1"/>
    <xf numFmtId="0" fontId="17" fillId="0" borderId="12" xfId="4" applyFont="1" applyBorder="1"/>
    <xf numFmtId="0" fontId="18" fillId="0" borderId="11" xfId="4" applyFont="1" applyBorder="1" applyAlignment="1">
      <alignment horizontal="center" vertical="center"/>
    </xf>
    <xf numFmtId="0" fontId="23" fillId="0" borderId="0" xfId="4" applyFont="1"/>
    <xf numFmtId="0" fontId="13" fillId="0" borderId="0" xfId="4" applyFont="1"/>
    <xf numFmtId="0" fontId="18" fillId="0" borderId="10" xfId="4" applyFont="1" applyBorder="1" applyAlignment="1">
      <alignment horizontal="center" vertical="center" wrapText="1"/>
    </xf>
    <xf numFmtId="164" fontId="3" fillId="3" borderId="3" xfId="1" applyNumberFormat="1" applyFill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8" fillId="0" borderId="0" xfId="0" applyFont="1"/>
    <xf numFmtId="0" fontId="3" fillId="0" borderId="0" xfId="2"/>
    <xf numFmtId="0" fontId="5" fillId="0" borderId="0" xfId="2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applyFont="1"/>
    <xf numFmtId="164" fontId="2" fillId="4" borderId="0" xfId="0" applyNumberFormat="1" applyFont="1" applyFill="1"/>
    <xf numFmtId="164" fontId="3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3" fillId="5" borderId="0" xfId="0" applyFont="1" applyFill="1"/>
    <xf numFmtId="164" fontId="0" fillId="5" borderId="0" xfId="0" applyNumberFormat="1" applyFill="1"/>
    <xf numFmtId="0" fontId="12" fillId="5" borderId="0" xfId="0" applyFont="1" applyFill="1" applyAlignment="1">
      <alignment horizontal="left"/>
    </xf>
    <xf numFmtId="164" fontId="12" fillId="5" borderId="0" xfId="0" applyNumberFormat="1" applyFont="1" applyFill="1"/>
    <xf numFmtId="0" fontId="12" fillId="0" borderId="0" xfId="0" applyFont="1" applyAlignment="1" applyProtection="1">
      <alignment vertical="top"/>
      <protection locked="0"/>
    </xf>
    <xf numFmtId="164" fontId="1" fillId="2" borderId="3" xfId="0" applyNumberFormat="1" applyFont="1" applyFill="1" applyBorder="1" applyAlignment="1">
      <alignment horizontal="center" vertical="center"/>
    </xf>
    <xf numFmtId="0" fontId="16" fillId="4" borderId="0" xfId="4" quotePrefix="1" applyFont="1" applyFill="1" applyAlignment="1">
      <alignment horizontal="left"/>
    </xf>
    <xf numFmtId="0" fontId="12" fillId="0" borderId="0" xfId="4"/>
    <xf numFmtId="0" fontId="17" fillId="0" borderId="0" xfId="4" applyFont="1"/>
    <xf numFmtId="0" fontId="17" fillId="0" borderId="1" xfId="4" applyFont="1" applyBorder="1" applyAlignment="1">
      <alignment horizontal="center"/>
    </xf>
    <xf numFmtId="0" fontId="17" fillId="0" borderId="5" xfId="4" applyFont="1" applyBorder="1" applyAlignment="1">
      <alignment horizontal="center"/>
    </xf>
    <xf numFmtId="0" fontId="18" fillId="0" borderId="4" xfId="5" applyFont="1" applyBorder="1" applyAlignment="1">
      <alignment horizontal="left" vertical="center"/>
    </xf>
    <xf numFmtId="165" fontId="17" fillId="0" borderId="1" xfId="6" applyNumberFormat="1" applyFont="1" applyBorder="1" applyAlignment="1">
      <alignment horizontal="center" vertical="center"/>
    </xf>
    <xf numFmtId="165" fontId="17" fillId="0" borderId="2" xfId="6" applyNumberFormat="1" applyFont="1" applyBorder="1" applyAlignment="1">
      <alignment horizontal="center" vertical="center"/>
    </xf>
    <xf numFmtId="165" fontId="18" fillId="0" borderId="2" xfId="6" applyNumberFormat="1" applyFont="1" applyBorder="1" applyAlignment="1">
      <alignment horizontal="center" vertical="center"/>
    </xf>
    <xf numFmtId="165" fontId="17" fillId="0" borderId="7" xfId="6" applyNumberFormat="1" applyFont="1" applyBorder="1" applyAlignment="1">
      <alignment horizontal="center" vertical="center"/>
    </xf>
    <xf numFmtId="0" fontId="17" fillId="0" borderId="4" xfId="4" applyFont="1" applyBorder="1"/>
    <xf numFmtId="166" fontId="17" fillId="0" borderId="5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2" fillId="6" borderId="0" xfId="0" applyFont="1" applyFill="1"/>
    <xf numFmtId="0" fontId="12" fillId="7" borderId="0" xfId="0" applyFont="1" applyFill="1"/>
    <xf numFmtId="0" fontId="12" fillId="6" borderId="8" xfId="0" applyFont="1" applyFill="1" applyBorder="1"/>
    <xf numFmtId="166" fontId="3" fillId="5" borderId="0" xfId="0" applyNumberFormat="1" applyFont="1" applyFill="1"/>
    <xf numFmtId="164" fontId="2" fillId="4" borderId="0" xfId="0" quotePrefix="1" applyNumberFormat="1" applyFont="1" applyFill="1"/>
    <xf numFmtId="0" fontId="2" fillId="4" borderId="0" xfId="0" quotePrefix="1" applyFont="1" applyFill="1"/>
    <xf numFmtId="0" fontId="6" fillId="4" borderId="0" xfId="0" applyFont="1" applyFill="1"/>
    <xf numFmtId="0" fontId="2" fillId="4" borderId="0" xfId="0" applyFont="1" applyFill="1"/>
    <xf numFmtId="9" fontId="0" fillId="0" borderId="0" xfId="0" applyNumberFormat="1"/>
    <xf numFmtId="2" fontId="14" fillId="5" borderId="0" xfId="0" applyNumberFormat="1" applyFont="1" applyFill="1"/>
    <xf numFmtId="2" fontId="12" fillId="5" borderId="0" xfId="0" applyNumberFormat="1" applyFont="1" applyFill="1"/>
    <xf numFmtId="0" fontId="1" fillId="2" borderId="3" xfId="0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25" fillId="5" borderId="0" xfId="0" applyNumberFormat="1" applyFont="1" applyFill="1" applyAlignment="1">
      <alignment horizontal="left"/>
    </xf>
    <xf numFmtId="9" fontId="12" fillId="5" borderId="0" xfId="7" applyFont="1" applyFill="1"/>
    <xf numFmtId="0" fontId="18" fillId="0" borderId="9" xfId="4" applyFont="1" applyBorder="1" applyAlignment="1">
      <alignment horizontal="center" vertical="center"/>
    </xf>
    <xf numFmtId="165" fontId="26" fillId="0" borderId="1" xfId="6" applyNumberFormat="1" applyFont="1" applyBorder="1" applyAlignment="1">
      <alignment horizontal="center" vertical="center"/>
    </xf>
    <xf numFmtId="165" fontId="27" fillId="0" borderId="1" xfId="6" applyNumberFormat="1" applyFont="1" applyBorder="1" applyAlignment="1">
      <alignment horizontal="center" vertical="center"/>
    </xf>
    <xf numFmtId="165" fontId="27" fillId="0" borderId="5" xfId="6" applyNumberFormat="1" applyFont="1" applyBorder="1" applyAlignment="1">
      <alignment horizontal="center" vertical="center"/>
    </xf>
    <xf numFmtId="0" fontId="13" fillId="0" borderId="0" xfId="0" applyFont="1"/>
    <xf numFmtId="0" fontId="23" fillId="0" borderId="0" xfId="0" applyFont="1"/>
    <xf numFmtId="0" fontId="18" fillId="0" borderId="6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64" fontId="3" fillId="5" borderId="0" xfId="1" applyNumberFormat="1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164" fontId="3" fillId="3" borderId="16" xfId="1" applyNumberFormat="1" applyFill="1" applyBorder="1" applyAlignment="1">
      <alignment horizontal="center" vertical="center" wrapText="1"/>
    </xf>
    <xf numFmtId="0" fontId="3" fillId="3" borderId="16" xfId="1" applyFill="1" applyBorder="1" applyAlignment="1">
      <alignment horizontal="center" vertical="center" wrapText="1"/>
    </xf>
    <xf numFmtId="164" fontId="3" fillId="5" borderId="0" xfId="1" applyNumberFormat="1" applyFill="1" applyAlignment="1">
      <alignment horizontal="left" vertical="center" wrapText="1"/>
    </xf>
    <xf numFmtId="164" fontId="12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center"/>
    </xf>
    <xf numFmtId="164" fontId="3" fillId="5" borderId="0" xfId="1" applyNumberFormat="1" applyFill="1" applyAlignment="1">
      <alignment horizontal="center" wrapText="1"/>
    </xf>
    <xf numFmtId="164" fontId="25" fillId="6" borderId="0" xfId="0" applyNumberFormat="1" applyFont="1" applyFill="1"/>
    <xf numFmtId="164" fontId="3" fillId="5" borderId="0" xfId="1" applyNumberFormat="1" applyFill="1" applyAlignment="1">
      <alignment horizontal="left" wrapText="1"/>
    </xf>
    <xf numFmtId="164" fontId="25" fillId="6" borderId="0" xfId="0" applyNumberFormat="1" applyFont="1" applyFill="1" applyAlignment="1">
      <alignment horizontal="left"/>
    </xf>
    <xf numFmtId="164" fontId="1" fillId="5" borderId="0" xfId="0" applyNumberFormat="1" applyFont="1" applyFill="1" applyAlignment="1">
      <alignment horizontal="center" vertical="center"/>
    </xf>
    <xf numFmtId="10" fontId="3" fillId="5" borderId="0" xfId="0" applyNumberFormat="1" applyFont="1" applyFill="1"/>
    <xf numFmtId="10" fontId="28" fillId="0" borderId="0" xfId="0" applyNumberFormat="1" applyFont="1"/>
    <xf numFmtId="0" fontId="3" fillId="0" borderId="0" xfId="0" applyFont="1"/>
    <xf numFmtId="164" fontId="29" fillId="6" borderId="0" xfId="0" applyNumberFormat="1" applyFont="1" applyFill="1" applyAlignment="1">
      <alignment horizontal="left"/>
    </xf>
    <xf numFmtId="167" fontId="3" fillId="5" borderId="0" xfId="0" applyNumberFormat="1" applyFont="1" applyFill="1"/>
    <xf numFmtId="167" fontId="0" fillId="0" borderId="0" xfId="0" applyNumberFormat="1"/>
    <xf numFmtId="164" fontId="29" fillId="6" borderId="0" xfId="0" applyNumberFormat="1" applyFont="1" applyFill="1"/>
    <xf numFmtId="164" fontId="3" fillId="9" borderId="0" xfId="1" applyNumberFormat="1" applyFill="1" applyAlignment="1">
      <alignment horizontal="left" vertical="center" wrapText="1"/>
    </xf>
    <xf numFmtId="10" fontId="0" fillId="0" borderId="0" xfId="0" applyNumberFormat="1"/>
    <xf numFmtId="0" fontId="0" fillId="10" borderId="17" xfId="0" applyFill="1" applyBorder="1"/>
    <xf numFmtId="0" fontId="0" fillId="9" borderId="17" xfId="0" applyFill="1" applyBorder="1"/>
    <xf numFmtId="0" fontId="0" fillId="5" borderId="0" xfId="0" applyFill="1"/>
    <xf numFmtId="0" fontId="0" fillId="11" borderId="0" xfId="0" applyFill="1"/>
    <xf numFmtId="0" fontId="0" fillId="5" borderId="17" xfId="0" applyFill="1" applyBorder="1"/>
    <xf numFmtId="0" fontId="18" fillId="0" borderId="15" xfId="4" applyFont="1" applyBorder="1" applyAlignment="1">
      <alignment horizontal="center" vertical="center" wrapText="1"/>
    </xf>
    <xf numFmtId="0" fontId="18" fillId="0" borderId="9" xfId="4" applyFont="1" applyBorder="1" applyAlignment="1">
      <alignment horizontal="center" vertical="center" wrapText="1"/>
    </xf>
    <xf numFmtId="0" fontId="18" fillId="0" borderId="14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22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164" fontId="3" fillId="3" borderId="3" xfId="1" applyNumberFormat="1" applyFill="1" applyBorder="1" applyAlignment="1">
      <alignment horizontal="center" vertical="center" wrapText="1"/>
    </xf>
    <xf numFmtId="2" fontId="3" fillId="5" borderId="0" xfId="0" applyNumberFormat="1" applyFont="1" applyFill="1"/>
  </cellXfs>
  <cellStyles count="8">
    <cellStyle name="Normal 10" xfId="1" xr:uid="{00000000-0005-0000-0000-000016030000}"/>
    <cellStyle name="Normal 4" xfId="2" xr:uid="{00000000-0005-0000-0000-00001F030000}"/>
    <cellStyle name="Normal 5" xfId="4" xr:uid="{00000000-0005-0000-0000-000021030000}"/>
    <cellStyle name="Normale" xfId="0" builtinId="0"/>
    <cellStyle name="Normalny_S301-339-05" xfId="6" xr:uid="{00000000-0005-0000-0000-00009D030000}"/>
    <cellStyle name="Normalny_T206" xfId="5" xr:uid="{00000000-0005-0000-0000-00009E030000}"/>
    <cellStyle name="Per cent 2" xfId="3" xr:uid="{DDC5681C-F033-4AC5-9897-895307FDA964}"/>
    <cellStyle name="Percentuale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1249680</xdr:colOff>
      <xdr:row>0</xdr:row>
      <xdr:rowOff>38100</xdr:rowOff>
    </xdr:from>
    <xdr:to>
      <xdr:col>9</xdr:col>
      <xdr:colOff>373380</xdr:colOff>
      <xdr:row>3</xdr:row>
      <xdr:rowOff>99060</xdr:rowOff>
    </xdr:to>
    <xdr:grpSp>
      <xdr:nvGrpSpPr>
        <xdr:cNvPr id="5" name="Grupa 4">
          <a:extLst>
            <a:ext uri="{FF2B5EF4-FFF2-40B4-BE49-F238E27FC236}">
              <a16:creationId xmlns:a16="http://schemas.microsoft.com/office/drawing/2014/main" id="{F4A1F753-6279-8C0D-F890-0048824C12C9}"/>
            </a:ext>
          </a:extLst>
        </xdr:cNvPr>
        <xdr:cNvGrpSpPr/>
      </xdr:nvGrpSpPr>
      <xdr:grpSpPr>
        <a:xfrm>
          <a:off x="1448554" y="38100"/>
          <a:ext cx="5519057" cy="605246"/>
          <a:chOff x="1447800" y="38100"/>
          <a:chExt cx="4770120" cy="617220"/>
        </a:xfrm>
      </xdr:grpSpPr>
      <xdr:sp macro="" textlink="">
        <xdr:nvSpPr>
          <xdr:cNvPr id="2" name="pole tekstowe 1">
            <a:extLst>
              <a:ext uri="{FF2B5EF4-FFF2-40B4-BE49-F238E27FC236}">
                <a16:creationId xmlns:a16="http://schemas.microsoft.com/office/drawing/2014/main" id="{8D8D8F8F-BC55-C4F7-8A59-77F3EE8E5FB9}"/>
              </a:ext>
            </a:extLst>
          </xdr:cNvPr>
          <xdr:cNvSpPr txBox="1"/>
        </xdr:nvSpPr>
        <xdr:spPr>
          <a:xfrm>
            <a:off x="2560320" y="38100"/>
            <a:ext cx="3657600" cy="61722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l-PL" sz="1400"/>
              <a:t>The Veda tag syntax </a:t>
            </a:r>
            <a:r>
              <a:rPr lang="pl-PL" sz="1400" b="1"/>
              <a:t>~FI_T:AttributeName </a:t>
            </a:r>
            <a:r>
              <a:rPr lang="pl-PL" sz="1400"/>
              <a:t>is useful when all the data in the table relates to a single attribute.</a:t>
            </a:r>
          </a:p>
        </xdr:txBody>
      </xdr:sp>
      <xdr:cxnSp macro="">
        <xdr:nvCxnSpPr>
          <xdr:cNvPr id="4" name="Łącznik prosty ze strzałką 3">
            <a:extLst>
              <a:ext uri="{FF2B5EF4-FFF2-40B4-BE49-F238E27FC236}">
                <a16:creationId xmlns:a16="http://schemas.microsoft.com/office/drawing/2014/main" id="{F6D46056-173D-CCB3-8E57-EFD4433D6F36}"/>
              </a:ext>
            </a:extLst>
          </xdr:cNvPr>
          <xdr:cNvCxnSpPr>
            <a:stCxn id="2" idx="1"/>
          </xdr:cNvCxnSpPr>
        </xdr:nvCxnSpPr>
        <xdr:spPr bwMode="auto">
          <a:xfrm flipH="1">
            <a:off x="1447800" y="346710"/>
            <a:ext cx="1112520" cy="262890"/>
          </a:xfrm>
          <a:prstGeom prst="straightConnector1">
            <a:avLst/>
          </a:prstGeom>
          <a:ln w="19050" cap="flat" cmpd="sng" algn="ctr">
            <a:solidFill>
              <a:schemeClr val="accent3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14288</xdr:colOff>
      <xdr:row>28</xdr:row>
      <xdr:rowOff>57150</xdr:rowOff>
    </xdr:from>
    <xdr:to>
      <xdr:col>5</xdr:col>
      <xdr:colOff>632500</xdr:colOff>
      <xdr:row>33</xdr:row>
      <xdr:rowOff>42862</xdr:rowOff>
    </xdr:to>
    <xdr:sp macro="" textlink="">
      <xdr:nvSpPr>
        <xdr:cNvPr id="3" name="pole tekstowe 1">
          <a:extLst>
            <a:ext uri="{FF2B5EF4-FFF2-40B4-BE49-F238E27FC236}">
              <a16:creationId xmlns:a16="http://schemas.microsoft.com/office/drawing/2014/main" id="{30AC87AD-70FC-49B2-913B-A1A77740BA52}"/>
            </a:ext>
          </a:extLst>
        </xdr:cNvPr>
        <xdr:cNvSpPr txBox="1"/>
      </xdr:nvSpPr>
      <xdr:spPr>
        <a:xfrm>
          <a:off x="223838" y="3633788"/>
          <a:ext cx="4856837" cy="795337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it-IT" sz="1400"/>
            <a:t>this</a:t>
          </a:r>
          <a:r>
            <a:rPr lang="it-IT" sz="1400" baseline="0"/>
            <a:t> incrase percent is result of summary of different sector and it tiene conto of the incrase efficient and change energy carrier for sector</a:t>
          </a:r>
          <a:endParaRPr lang="pl-PL" sz="1400"/>
        </a:p>
      </xdr:txBody>
    </xdr:sp>
    <xdr:clientData/>
  </xdr:twoCellAnchor>
  <xdr:twoCellAnchor>
    <xdr:from>
      <xdr:col>2</xdr:col>
      <xdr:colOff>881062</xdr:colOff>
      <xdr:row>20</xdr:row>
      <xdr:rowOff>57150</xdr:rowOff>
    </xdr:from>
    <xdr:to>
      <xdr:col>3</xdr:col>
      <xdr:colOff>0</xdr:colOff>
      <xdr:row>28</xdr:row>
      <xdr:rowOff>57150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EB96E39F-BF22-CC0F-BE5F-8D455B5F3E02}"/>
            </a:ext>
          </a:extLst>
        </xdr:cNvPr>
        <xdr:cNvCxnSpPr>
          <a:stCxn id="3" idx="0"/>
        </xdr:cNvCxnSpPr>
      </xdr:nvCxnSpPr>
      <xdr:spPr bwMode="auto">
        <a:xfrm flipH="1" flipV="1">
          <a:off x="2505075" y="2328863"/>
          <a:ext cx="147182" cy="13049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residential%20demand.xlsx" TargetMode="External"/><Relationship Id="rId2" Type="http://schemas.openxmlformats.org/officeDocument/2006/relationships/externalLinkPath" Target="file:///C:\myprogect\for%20my%20project\DEMAND\residential%20demand.xlsx" TargetMode="External"/><Relationship Id="rId1" Type="http://schemas.openxmlformats.org/officeDocument/2006/relationships/externalLinkPath" Target="/myprogect/for%20my%20project/DEMAND/residential%20demand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Industrial%20demand.xlsx" TargetMode="External"/><Relationship Id="rId2" Type="http://schemas.openxmlformats.org/officeDocument/2006/relationships/externalLinkPath" Target="file:///C:\myprogect\for%20my%20project\DEMAND\Industrial%20demand.xlsx" TargetMode="External"/><Relationship Id="rId1" Type="http://schemas.openxmlformats.org/officeDocument/2006/relationships/externalLinkPath" Target="/myprogect/for%20my%20project/DEMAND/Industrial%20demand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service%20demand.xlsx" TargetMode="External"/><Relationship Id="rId2" Type="http://schemas.openxmlformats.org/officeDocument/2006/relationships/externalLinkPath" Target="file:///C:\myprogect\for%20my%20project\DEMAND\service%20demand.xlsx" TargetMode="External"/><Relationship Id="rId1" Type="http://schemas.openxmlformats.org/officeDocument/2006/relationships/externalLinkPath" Target="/myprogect/for%20my%20project/DEMAND/service%20demand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agriculture%20demand.xlsx" TargetMode="External"/><Relationship Id="rId2" Type="http://schemas.openxmlformats.org/officeDocument/2006/relationships/externalLinkPath" Target="file:///C:\myprogect\for%20my%20project\DEMAND\agriculture%20demand.xlsx" TargetMode="External"/><Relationship Id="rId1" Type="http://schemas.openxmlformats.org/officeDocument/2006/relationships/externalLinkPath" Target="/myprogect/for%20my%20project/DEMAND/agriculture%20demand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yprogect/for%20my%20project/DEMAND/transport%20demand.xlsx" TargetMode="External"/><Relationship Id="rId2" Type="http://schemas.openxmlformats.org/officeDocument/2006/relationships/externalLinkPath" Target="file:///C:\myprogect\for%20my%20project\DEMAND\transport%20demand.xlsx" TargetMode="External"/><Relationship Id="rId1" Type="http://schemas.openxmlformats.org/officeDocument/2006/relationships/externalLinkPath" Target="/myprogect/for%20my%20project/DEMAND/transport%20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RRECT SITUATION"/>
      <sheetName val="Foglio2"/>
      <sheetName val="Foglio1"/>
    </sheetNames>
    <sheetDataSet>
      <sheetData sheetId="0">
        <row r="11">
          <cell r="C11">
            <v>8.4263512753092351E-2</v>
          </cell>
          <cell r="D11">
            <v>0.26092632569750662</v>
          </cell>
          <cell r="E11">
            <v>9.5014374725038611E-2</v>
          </cell>
          <cell r="F11">
            <v>0.55979578682436237</v>
          </cell>
        </row>
        <row r="14">
          <cell r="G14">
            <v>14.385823239436622</v>
          </cell>
        </row>
        <row r="33">
          <cell r="Q33">
            <v>2.7379431683990412E-2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Q34">
            <v>0.2424600783570193</v>
          </cell>
          <cell r="R34">
            <v>0.14317596912369035</v>
          </cell>
          <cell r="S34">
            <v>3.8999429627396852E-2</v>
          </cell>
          <cell r="T34">
            <v>0</v>
          </cell>
          <cell r="U34">
            <v>0</v>
          </cell>
          <cell r="V34">
            <v>0</v>
          </cell>
        </row>
        <row r="35">
          <cell r="Q35">
            <v>0.1492179026776852</v>
          </cell>
          <cell r="R35">
            <v>0.27900958085641642</v>
          </cell>
          <cell r="S35">
            <v>0.40231301374861939</v>
          </cell>
          <cell r="T35">
            <v>0.49223392885782874</v>
          </cell>
          <cell r="U35">
            <v>0.55191863801080765</v>
          </cell>
          <cell r="V35">
            <v>0.60129676752137506</v>
          </cell>
        </row>
        <row r="36">
          <cell r="Q36">
            <v>0.5809425872813051</v>
          </cell>
          <cell r="R36">
            <v>0.57781445001989329</v>
          </cell>
          <cell r="S36">
            <v>0.55868755662398373</v>
          </cell>
          <cell r="T36">
            <v>0.50776607114217132</v>
          </cell>
          <cell r="U36">
            <v>0.44808136198919235</v>
          </cell>
          <cell r="V36">
            <v>0.39870323247862494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1"/>
      <sheetName val="Foglio2"/>
    </sheetNames>
    <sheetDataSet>
      <sheetData sheetId="0"/>
      <sheetData sheetId="1">
        <row r="8">
          <cell r="B8">
            <v>2.5717995162723144E-2</v>
          </cell>
          <cell r="C8">
            <v>8.3096927613609511E-2</v>
          </cell>
          <cell r="D8">
            <v>8.335598428380267E-2</v>
          </cell>
          <cell r="E8">
            <v>9.9280949183083528E-2</v>
          </cell>
          <cell r="F8">
            <v>0.24550259166145444</v>
          </cell>
          <cell r="G8">
            <v>0.46304555209532677</v>
          </cell>
        </row>
        <row r="12">
          <cell r="H12">
            <v>23.436112172000001</v>
          </cell>
        </row>
        <row r="34">
          <cell r="R34">
            <v>2.8607342949816098E-2</v>
          </cell>
          <cell r="S34">
            <v>3.5658147636268525E-2</v>
          </cell>
          <cell r="T34">
            <v>4.1781295873862E-2</v>
          </cell>
          <cell r="U34">
            <v>4.6570523655814086E-2</v>
          </cell>
          <cell r="V34">
            <v>4.632800873137715E-2</v>
          </cell>
          <cell r="W34">
            <v>4.5619755935101418E-2</v>
          </cell>
        </row>
        <row r="35">
          <cell r="R35">
            <v>9.2377878275447772E-2</v>
          </cell>
          <cell r="S35">
            <v>0.11505338467307603</v>
          </cell>
          <cell r="T35">
            <v>0.13474553233700756</v>
          </cell>
          <cell r="U35">
            <v>0.15014315742073636</v>
          </cell>
          <cell r="V35">
            <v>0.14932750354068577</v>
          </cell>
          <cell r="W35">
            <v>0.1470197332133498</v>
          </cell>
        </row>
        <row r="36">
          <cell r="R36">
            <v>0.12031877230361429</v>
          </cell>
          <cell r="S36">
            <v>0.20378366053644034</v>
          </cell>
          <cell r="T36">
            <v>0.27626728559921226</v>
          </cell>
          <cell r="U36">
            <v>0.33563708586000873</v>
          </cell>
          <cell r="V36">
            <v>0.35349811279239524</v>
          </cell>
          <cell r="W36">
            <v>0.36253525805074932</v>
          </cell>
        </row>
        <row r="37">
          <cell r="R37">
            <v>8.3477571953810392E-2</v>
          </cell>
          <cell r="S37">
            <v>4.7012904857141664E-2</v>
          </cell>
          <cell r="T37">
            <v>1.5345801314140628E-2</v>
          </cell>
          <cell r="U37">
            <v>0</v>
          </cell>
          <cell r="V37">
            <v>0</v>
          </cell>
          <cell r="W37">
            <v>0</v>
          </cell>
        </row>
        <row r="38">
          <cell r="R38">
            <v>0.27248494159700348</v>
          </cell>
          <cell r="S38">
            <v>0.34289050105034424</v>
          </cell>
          <cell r="T38">
            <v>0.40403298002324095</v>
          </cell>
          <cell r="U38">
            <v>0.45201713969007062</v>
          </cell>
          <cell r="V38">
            <v>0.45084637493554186</v>
          </cell>
          <cell r="W38">
            <v>0.44482525280079949</v>
          </cell>
        </row>
        <row r="39">
          <cell r="R39">
            <v>0.40273349292030797</v>
          </cell>
          <cell r="S39">
            <v>0.2556014012467292</v>
          </cell>
          <cell r="T39">
            <v>0.12782710485253659</v>
          </cell>
          <cell r="U39">
            <v>1.5632093373370223E-2</v>
          </cell>
          <cell r="V39">
            <v>0</v>
          </cell>
          <cell r="W39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2"/>
    </sheetNames>
    <sheetDataSet>
      <sheetData sheetId="0">
        <row r="9">
          <cell r="C9">
            <v>9.2402032844722579E-2</v>
          </cell>
          <cell r="D9">
            <v>0.14280314166911673</v>
          </cell>
          <cell r="E9">
            <v>0</v>
          </cell>
          <cell r="F9">
            <v>0.76479482548616073</v>
          </cell>
        </row>
        <row r="11">
          <cell r="G11">
            <v>9.9521619999999995</v>
          </cell>
        </row>
        <row r="33">
          <cell r="P33">
            <v>0.10309065792457844</v>
          </cell>
          <cell r="Q33">
            <v>0.12514952457733006</v>
          </cell>
          <cell r="R33">
            <v>0.14384755922956885</v>
          </cell>
          <cell r="S33">
            <v>0.15989846447505729</v>
          </cell>
          <cell r="T33">
            <v>0.17382722040941567</v>
          </cell>
          <cell r="U33">
            <v>0.18602859587804288</v>
          </cell>
        </row>
        <row r="34">
          <cell r="P34">
            <v>0.16082142636233862</v>
          </cell>
          <cell r="Q34">
            <v>0.19849296688776255</v>
          </cell>
          <cell r="R34">
            <v>0.2304249687097927</v>
          </cell>
          <cell r="S34">
            <v>0.25783627396602743</v>
          </cell>
          <cell r="T34">
            <v>0.28162342957605818</v>
          </cell>
          <cell r="U34">
            <v>0.30246061118053386</v>
          </cell>
        </row>
        <row r="35"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P36">
            <v>0.73608791571307497</v>
          </cell>
          <cell r="Q36">
            <v>0.67635750853490562</v>
          </cell>
          <cell r="R36">
            <v>0.62572747206063717</v>
          </cell>
          <cell r="S36">
            <v>0.58226526155890845</v>
          </cell>
          <cell r="T36">
            <v>0.5445493500145242</v>
          </cell>
          <cell r="U36">
            <v>0.51151079294141666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th Hydrogen"/>
      <sheetName val="Foglio1"/>
      <sheetName val="Foglio2"/>
    </sheetNames>
    <sheetDataSet>
      <sheetData sheetId="0">
        <row r="52">
          <cell r="K52">
            <v>0.94477682758652748</v>
          </cell>
          <cell r="L52">
            <v>0.84033369231586907</v>
          </cell>
          <cell r="M52">
            <v>0.77026768885678953</v>
          </cell>
          <cell r="N52">
            <v>0.67842141756886476</v>
          </cell>
          <cell r="O52">
            <v>0.48718349286534485</v>
          </cell>
          <cell r="P52">
            <v>0.29360996787454147</v>
          </cell>
        </row>
        <row r="53">
          <cell r="K53">
            <v>5.5223172413472535E-2</v>
          </cell>
          <cell r="L53">
            <v>4.5075349641057902E-2</v>
          </cell>
          <cell r="M53">
            <v>3.7165388929013006E-2</v>
          </cell>
          <cell r="N53">
            <v>3.0826546330193078E-2</v>
          </cell>
          <cell r="O53">
            <v>2.5633014269310379E-2</v>
          </cell>
          <cell r="P53">
            <v>2.1300107084862012E-2</v>
          </cell>
        </row>
        <row r="54">
          <cell r="K54">
            <v>0</v>
          </cell>
          <cell r="L54">
            <v>5.7295479021536519E-2</v>
          </cell>
          <cell r="M54">
            <v>9.6283461107098692E-2</v>
          </cell>
          <cell r="N54">
            <v>0.14537601805047104</v>
          </cell>
          <cell r="O54">
            <v>0.24359174643267242</v>
          </cell>
          <cell r="P54">
            <v>0.34254496252029826</v>
          </cell>
        </row>
        <row r="55">
          <cell r="K55">
            <v>0</v>
          </cell>
          <cell r="L55">
            <v>5.7295479021536519E-2</v>
          </cell>
          <cell r="M55">
            <v>9.6283461107098692E-2</v>
          </cell>
          <cell r="N55">
            <v>0.14537601805047104</v>
          </cell>
          <cell r="O55">
            <v>0.24359174643267242</v>
          </cell>
          <cell r="P55">
            <v>0.34254496252029826</v>
          </cell>
        </row>
      </sheetData>
      <sheetData sheetId="1"/>
      <sheetData sheetId="2">
        <row r="9">
          <cell r="B9">
            <v>0.79649693184697545</v>
          </cell>
          <cell r="C9">
            <v>0.20350306815302449</v>
          </cell>
        </row>
        <row r="11">
          <cell r="D11">
            <v>4.0977760559999998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glio3"/>
    </sheetNames>
    <sheetDataSet>
      <sheetData sheetId="0">
        <row r="10">
          <cell r="C10">
            <v>0.41736419743223646</v>
          </cell>
          <cell r="D10">
            <v>0.54999870673944939</v>
          </cell>
          <cell r="E10">
            <v>1.9202948834671933E-2</v>
          </cell>
          <cell r="F10">
            <v>1.3434146993642102E-2</v>
          </cell>
        </row>
        <row r="12">
          <cell r="G12">
            <v>34.547267414993634</v>
          </cell>
        </row>
        <row r="60">
          <cell r="N60">
            <v>0.39517638159154711</v>
          </cell>
          <cell r="O60">
            <v>0.46466386784780284</v>
          </cell>
          <cell r="P60">
            <v>0.52625630328493189</v>
          </cell>
          <cell r="Q60">
            <v>0.58122689177441011</v>
          </cell>
          <cell r="R60">
            <v>0.63058903673018718</v>
          </cell>
          <cell r="S60">
            <v>0.67515939091316235</v>
          </cell>
        </row>
        <row r="61">
          <cell r="N61">
            <v>0.60346567395744488</v>
          </cell>
          <cell r="O61">
            <v>0.46953912482859261</v>
          </cell>
          <cell r="P61">
            <v>0.37728835891432055</v>
          </cell>
          <cell r="Q61">
            <v>0.29142030640064059</v>
          </cell>
          <cell r="R61">
            <v>0.18333030711679396</v>
          </cell>
          <cell r="S61">
            <v>9.654799140173155E-2</v>
          </cell>
        </row>
        <row r="62">
          <cell r="N62">
            <v>7.8928104873112305E-4</v>
          </cell>
          <cell r="O62">
            <v>8.5420144431191914E-4</v>
          </cell>
          <cell r="P62">
            <v>9.1174569420199314E-4</v>
          </cell>
          <cell r="Q62">
            <v>9.6310332047854809E-4</v>
          </cell>
          <cell r="R62">
            <v>1.0092211202422144E-3</v>
          </cell>
          <cell r="S62">
            <v>1.0508620714498053E-3</v>
          </cell>
        </row>
        <row r="63">
          <cell r="N63">
            <v>5.6866340227682325E-4</v>
          </cell>
          <cell r="O63">
            <v>9.1474340266635228E-4</v>
          </cell>
          <cell r="P63">
            <v>1.2215023779653712E-3</v>
          </cell>
          <cell r="Q63">
            <v>1.4952814756247076E-3</v>
          </cell>
          <cell r="R63">
            <v>1.74112791598269E-3</v>
          </cell>
          <cell r="S63">
            <v>1.9631090096161735E-3</v>
          </cell>
        </row>
        <row r="64">
          <cell r="N64">
            <v>0</v>
          </cell>
          <cell r="O64">
            <v>3.2014031238313131E-2</v>
          </cell>
          <cell r="P64">
            <v>4.7161044864290069E-2</v>
          </cell>
          <cell r="Q64">
            <v>6.2447208514422974E-2</v>
          </cell>
          <cell r="R64">
            <v>9.1665153558396981E-2</v>
          </cell>
          <cell r="S64">
            <v>0.11263932330202009</v>
          </cell>
        </row>
        <row r="65">
          <cell r="N65">
            <v>0</v>
          </cell>
          <cell r="O65">
            <v>3.2014031238313131E-2</v>
          </cell>
          <cell r="P65">
            <v>4.7161044864290069E-2</v>
          </cell>
          <cell r="Q65">
            <v>6.2447208514422974E-2</v>
          </cell>
          <cell r="R65">
            <v>9.1665153558396981E-2</v>
          </cell>
          <cell r="S65">
            <v>0.11263932330202009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43E0-1E87-45A7-98CA-E678762B7428}">
  <dimension ref="B2:J43"/>
  <sheetViews>
    <sheetView topLeftCell="A23" zoomScale="85" zoomScaleNormal="85" workbookViewId="0">
      <selection activeCell="E9" sqref="E9"/>
    </sheetView>
  </sheetViews>
  <sheetFormatPr defaultColWidth="9" defaultRowHeight="12.75" x14ac:dyDescent="0.2"/>
  <cols>
    <col min="1" max="1" width="3" style="29" customWidth="1"/>
    <col min="2" max="2" width="36.5703125" style="29" customWidth="1"/>
    <col min="3" max="3" width="49.42578125" style="29" customWidth="1"/>
    <col min="4" max="5" width="15" style="29" customWidth="1"/>
    <col min="6" max="6" width="10.5703125" style="29" customWidth="1"/>
    <col min="7" max="7" width="10" style="29" customWidth="1"/>
    <col min="8" max="8" width="12" style="29" customWidth="1"/>
    <col min="9" max="9" width="11" style="29" customWidth="1"/>
    <col min="10" max="10" width="10.5703125" style="29" customWidth="1"/>
    <col min="11" max="16384" width="9" style="29"/>
  </cols>
  <sheetData>
    <row r="2" spans="2:10" ht="15" x14ac:dyDescent="0.2">
      <c r="B2" s="28" t="s">
        <v>0</v>
      </c>
      <c r="C2" s="28"/>
    </row>
    <row r="4" spans="2:10" x14ac:dyDescent="0.2">
      <c r="B4" s="30" t="s">
        <v>1</v>
      </c>
      <c r="C4" s="30"/>
    </row>
    <row r="5" spans="2:10" ht="51" x14ac:dyDescent="0.2">
      <c r="B5" s="91"/>
      <c r="C5" s="93"/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5</v>
      </c>
      <c r="J5" s="8" t="s">
        <v>6</v>
      </c>
    </row>
    <row r="6" spans="2:10" ht="15.75" x14ac:dyDescent="0.2">
      <c r="B6" s="92"/>
      <c r="C6" s="94"/>
      <c r="D6" s="31" t="s">
        <v>7</v>
      </c>
      <c r="E6" s="31" t="s">
        <v>8</v>
      </c>
      <c r="F6" s="31" t="s">
        <v>9</v>
      </c>
      <c r="G6" s="31" t="s">
        <v>10</v>
      </c>
      <c r="H6" s="31" t="s">
        <v>11</v>
      </c>
      <c r="I6" s="31" t="s">
        <v>12</v>
      </c>
      <c r="J6" s="32" t="s">
        <v>13</v>
      </c>
    </row>
    <row r="7" spans="2:10" x14ac:dyDescent="0.2">
      <c r="B7" s="33" t="s">
        <v>14</v>
      </c>
      <c r="C7" s="53" t="s">
        <v>15</v>
      </c>
      <c r="D7" s="34">
        <v>600</v>
      </c>
      <c r="E7" s="34">
        <v>4500</v>
      </c>
      <c r="F7" s="58">
        <v>0</v>
      </c>
      <c r="G7" s="58">
        <v>1790</v>
      </c>
      <c r="H7" s="58">
        <v>23500</v>
      </c>
      <c r="I7" s="59"/>
      <c r="J7" s="60"/>
    </row>
    <row r="8" spans="2:10" x14ac:dyDescent="0.2">
      <c r="B8" s="33" t="s">
        <v>16</v>
      </c>
      <c r="C8" s="53" t="s">
        <v>17</v>
      </c>
      <c r="D8" s="34">
        <v>550</v>
      </c>
      <c r="E8" s="34">
        <v>4100</v>
      </c>
      <c r="F8" s="58">
        <v>0</v>
      </c>
      <c r="G8" s="58">
        <v>2450</v>
      </c>
      <c r="H8" s="58">
        <v>6000</v>
      </c>
      <c r="I8" s="59"/>
      <c r="J8" s="60"/>
    </row>
    <row r="9" spans="2:10" x14ac:dyDescent="0.2">
      <c r="B9" s="33" t="s">
        <v>18</v>
      </c>
      <c r="C9" s="53" t="s">
        <v>19</v>
      </c>
      <c r="D9" s="34">
        <v>74</v>
      </c>
      <c r="E9" s="34">
        <v>247</v>
      </c>
      <c r="F9" s="58">
        <v>0</v>
      </c>
      <c r="G9" s="34">
        <v>606</v>
      </c>
      <c r="H9" s="58">
        <v>15000</v>
      </c>
      <c r="I9" s="59"/>
      <c r="J9" s="60"/>
    </row>
    <row r="10" spans="2:10" x14ac:dyDescent="0.2">
      <c r="B10" s="33" t="s">
        <v>20</v>
      </c>
      <c r="C10" s="53" t="s">
        <v>21</v>
      </c>
      <c r="D10" s="34">
        <v>240</v>
      </c>
      <c r="E10" s="34">
        <v>123</v>
      </c>
      <c r="F10" s="58">
        <v>0</v>
      </c>
      <c r="G10" s="58">
        <v>0</v>
      </c>
      <c r="H10" s="34">
        <v>0</v>
      </c>
      <c r="I10" s="59"/>
      <c r="J10" s="60"/>
    </row>
    <row r="11" spans="2:10" x14ac:dyDescent="0.2">
      <c r="B11" s="33" t="s">
        <v>22</v>
      </c>
      <c r="C11" s="53" t="s">
        <v>23</v>
      </c>
      <c r="D11" s="34">
        <v>70</v>
      </c>
      <c r="E11" s="34">
        <v>50</v>
      </c>
      <c r="F11" s="58">
        <v>0</v>
      </c>
      <c r="G11" s="58">
        <v>0</v>
      </c>
      <c r="H11" s="34">
        <v>0</v>
      </c>
      <c r="I11" s="59"/>
      <c r="J11" s="60"/>
    </row>
    <row r="12" spans="2:10" x14ac:dyDescent="0.2">
      <c r="B12" s="33" t="s">
        <v>24</v>
      </c>
      <c r="C12" s="53" t="s">
        <v>25</v>
      </c>
      <c r="D12" s="34">
        <v>1170</v>
      </c>
      <c r="E12" s="34">
        <v>2770</v>
      </c>
      <c r="F12" s="58">
        <v>0</v>
      </c>
      <c r="G12" s="58">
        <v>0</v>
      </c>
      <c r="H12" s="34">
        <v>0</v>
      </c>
      <c r="I12" s="59"/>
      <c r="J12" s="60"/>
    </row>
    <row r="13" spans="2:10" x14ac:dyDescent="0.2">
      <c r="B13" s="33" t="s">
        <v>26</v>
      </c>
      <c r="C13" s="53" t="s">
        <v>27</v>
      </c>
      <c r="D13" s="34">
        <v>1360</v>
      </c>
      <c r="E13" s="34">
        <v>1910</v>
      </c>
      <c r="F13" s="58">
        <v>0</v>
      </c>
      <c r="G13" s="58">
        <v>0</v>
      </c>
      <c r="H13" s="34">
        <v>0</v>
      </c>
      <c r="I13" s="59"/>
      <c r="J13" s="60"/>
    </row>
    <row r="14" spans="2:10" ht="13.5" thickBot="1" x14ac:dyDescent="0.25">
      <c r="B14" s="63" t="s">
        <v>28</v>
      </c>
      <c r="C14" s="64" t="s">
        <v>29</v>
      </c>
      <c r="D14" s="35">
        <f>SUM(D7:D13)</f>
        <v>4064</v>
      </c>
      <c r="E14" s="36">
        <f>SUM(E7:E13)</f>
        <v>13700</v>
      </c>
      <c r="F14" s="36">
        <f>SUM(F7:F13)</f>
        <v>0</v>
      </c>
      <c r="G14" s="35">
        <f>SUM(G7:G13)</f>
        <v>4846</v>
      </c>
      <c r="H14" s="35">
        <f>SUM(H7:H13)</f>
        <v>44500</v>
      </c>
      <c r="I14" s="35"/>
      <c r="J14" s="37"/>
    </row>
    <row r="15" spans="2:10" ht="15.75" customHeight="1" x14ac:dyDescent="0.2">
      <c r="B15" s="61" t="s">
        <v>30</v>
      </c>
      <c r="C15" s="7"/>
    </row>
    <row r="16" spans="2:10" x14ac:dyDescent="0.2">
      <c r="B16" s="61" t="s">
        <v>31</v>
      </c>
      <c r="C16" s="7"/>
    </row>
    <row r="17" spans="2:7" x14ac:dyDescent="0.2">
      <c r="B17" s="62" t="s">
        <v>32</v>
      </c>
      <c r="C17" s="7"/>
    </row>
    <row r="18" spans="2:7" x14ac:dyDescent="0.2">
      <c r="B18" s="61" t="s">
        <v>33</v>
      </c>
      <c r="C18" s="7"/>
    </row>
    <row r="19" spans="2:7" x14ac:dyDescent="0.2">
      <c r="B19" s="30"/>
      <c r="C19" s="30"/>
      <c r="D19" s="30"/>
      <c r="E19" s="30"/>
      <c r="F19" s="30"/>
    </row>
    <row r="20" spans="2:7" x14ac:dyDescent="0.2">
      <c r="B20" s="30"/>
      <c r="C20" s="30"/>
      <c r="D20" s="30"/>
      <c r="E20" s="30"/>
      <c r="F20" s="30"/>
    </row>
    <row r="21" spans="2:7" ht="15" x14ac:dyDescent="0.2">
      <c r="B21" s="28" t="s">
        <v>34</v>
      </c>
      <c r="C21" s="28"/>
      <c r="D21" s="30"/>
      <c r="E21" s="30"/>
      <c r="F21" s="30"/>
    </row>
    <row r="23" spans="2:7" x14ac:dyDescent="0.2">
      <c r="B23" s="30" t="s">
        <v>35</v>
      </c>
      <c r="C23" s="30"/>
      <c r="D23" s="30"/>
      <c r="E23" s="30"/>
      <c r="F23" s="30"/>
    </row>
    <row r="24" spans="2:7" ht="31.7" customHeight="1" x14ac:dyDescent="0.2">
      <c r="B24" s="57"/>
      <c r="C24" s="2"/>
      <c r="D24" s="8" t="s">
        <v>36</v>
      </c>
      <c r="E24" s="5" t="s">
        <v>37</v>
      </c>
      <c r="F24" s="30"/>
    </row>
    <row r="25" spans="2:7" x14ac:dyDescent="0.2">
      <c r="B25" s="38" t="s">
        <v>38</v>
      </c>
      <c r="C25" s="4" t="s">
        <v>39</v>
      </c>
      <c r="D25" s="31" t="s">
        <v>40</v>
      </c>
      <c r="E25" s="39">
        <v>0.98499999999999999</v>
      </c>
      <c r="F25" s="30"/>
      <c r="G25" s="3"/>
    </row>
    <row r="26" spans="2:7" x14ac:dyDescent="0.2">
      <c r="B26" s="38" t="s">
        <v>38</v>
      </c>
      <c r="C26" s="4" t="s">
        <v>39</v>
      </c>
      <c r="D26" s="31" t="s">
        <v>41</v>
      </c>
      <c r="E26" s="39">
        <v>0.92300000000000004</v>
      </c>
      <c r="F26" s="30"/>
      <c r="G26" s="3"/>
    </row>
    <row r="27" spans="2:7" x14ac:dyDescent="0.2">
      <c r="B27" s="38" t="s">
        <v>38</v>
      </c>
      <c r="C27" s="4" t="s">
        <v>39</v>
      </c>
      <c r="D27" s="31" t="s">
        <v>42</v>
      </c>
      <c r="E27" s="39">
        <v>0.89800000000000002</v>
      </c>
      <c r="F27" s="30"/>
    </row>
    <row r="28" spans="2:7" x14ac:dyDescent="0.2">
      <c r="B28" s="7"/>
      <c r="C28" s="30"/>
      <c r="D28" s="30"/>
      <c r="E28" s="40"/>
      <c r="F28" s="30"/>
    </row>
    <row r="29" spans="2:7" x14ac:dyDescent="0.2">
      <c r="B29" s="6"/>
      <c r="C29" s="30"/>
      <c r="D29" s="30"/>
      <c r="E29" s="40"/>
      <c r="F29" s="30"/>
    </row>
    <row r="30" spans="2:7" x14ac:dyDescent="0.2">
      <c r="B30" s="6"/>
      <c r="C30" s="30"/>
      <c r="D30" s="30"/>
      <c r="E30" s="40"/>
      <c r="F30" s="30"/>
    </row>
    <row r="31" spans="2:7" x14ac:dyDescent="0.2">
      <c r="B31" s="30"/>
      <c r="C31" s="30"/>
      <c r="D31" s="30"/>
      <c r="E31" s="40"/>
      <c r="F31" s="30"/>
    </row>
    <row r="32" spans="2:7" x14ac:dyDescent="0.2">
      <c r="B32" s="30"/>
      <c r="C32" s="30"/>
      <c r="D32" s="30"/>
      <c r="E32" s="40"/>
      <c r="F32" s="30"/>
    </row>
    <row r="33" spans="2:6" ht="15" x14ac:dyDescent="0.2">
      <c r="B33" s="28" t="s">
        <v>43</v>
      </c>
      <c r="C33" s="28"/>
      <c r="D33" s="30"/>
      <c r="E33" s="40"/>
      <c r="F33" s="30"/>
    </row>
    <row r="34" spans="2:6" x14ac:dyDescent="0.2">
      <c r="B34" s="30"/>
      <c r="C34" s="30"/>
      <c r="D34" s="30"/>
      <c r="E34" s="40"/>
      <c r="F34" s="30"/>
    </row>
    <row r="35" spans="2:6" x14ac:dyDescent="0.2">
      <c r="B35" s="30" t="s">
        <v>44</v>
      </c>
      <c r="C35" s="30"/>
      <c r="D35" s="30"/>
      <c r="E35" s="40"/>
      <c r="F35" s="30"/>
    </row>
    <row r="36" spans="2:6" x14ac:dyDescent="0.2">
      <c r="B36" s="30"/>
      <c r="C36" s="30"/>
      <c r="D36" s="30"/>
      <c r="E36" s="40"/>
      <c r="F36" s="30"/>
    </row>
    <row r="37" spans="2:6" ht="24.75" customHeight="1" x14ac:dyDescent="0.2">
      <c r="B37" s="57"/>
      <c r="C37" s="2"/>
      <c r="D37" s="2" t="s">
        <v>45</v>
      </c>
      <c r="E37" s="1" t="s">
        <v>46</v>
      </c>
      <c r="F37" s="30"/>
    </row>
    <row r="38" spans="2:6" x14ac:dyDescent="0.2">
      <c r="B38" s="38" t="s">
        <v>38</v>
      </c>
      <c r="C38" s="4" t="s">
        <v>39</v>
      </c>
      <c r="D38" s="31" t="s">
        <v>47</v>
      </c>
      <c r="E38" s="39">
        <v>8.3450000000000006</v>
      </c>
      <c r="F38" s="30"/>
    </row>
    <row r="39" spans="2:6" x14ac:dyDescent="0.2">
      <c r="B39" s="7"/>
      <c r="C39" s="30"/>
      <c r="D39" s="30"/>
      <c r="E39" s="30"/>
      <c r="F39" s="30"/>
    </row>
    <row r="40" spans="2:6" x14ac:dyDescent="0.2">
      <c r="B40" s="6"/>
      <c r="C40" s="30"/>
      <c r="D40" s="30"/>
      <c r="E40" s="30"/>
      <c r="F40" s="30"/>
    </row>
    <row r="41" spans="2:6" x14ac:dyDescent="0.2">
      <c r="B41" s="6"/>
    </row>
    <row r="43" spans="2:6" x14ac:dyDescent="0.2">
      <c r="B43" s="30"/>
      <c r="C43" s="30"/>
    </row>
  </sheetData>
  <mergeCells count="2">
    <mergeCell ref="B5:B6"/>
    <mergeCell ref="C5:C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34"/>
  <sheetViews>
    <sheetView zoomScale="71" zoomScaleNormal="100" workbookViewId="0">
      <selection activeCell="M15" sqref="M15"/>
    </sheetView>
  </sheetViews>
  <sheetFormatPr defaultRowHeight="12.75" x14ac:dyDescent="0.2"/>
  <cols>
    <col min="1" max="1" width="3" customWidth="1"/>
    <col min="2" max="2" width="15" customWidth="1"/>
    <col min="3" max="3" width="28.140625" customWidth="1"/>
    <col min="4" max="4" width="38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3" customWidth="1"/>
    <col min="10" max="10" width="10.42578125" customWidth="1"/>
    <col min="11" max="12" width="10.5703125" bestFit="1" customWidth="1"/>
  </cols>
  <sheetData>
    <row r="2" spans="2:9" ht="18" x14ac:dyDescent="0.25">
      <c r="B2" s="46" t="s">
        <v>48</v>
      </c>
      <c r="C2" s="47"/>
      <c r="D2" s="47"/>
      <c r="E2" s="19"/>
      <c r="F2" s="19"/>
      <c r="G2" s="19"/>
      <c r="H2" s="19"/>
      <c r="I2" s="19"/>
    </row>
    <row r="3" spans="2:9" ht="12.75" customHeight="1" x14ac:dyDescent="0.2">
      <c r="B3" s="20"/>
      <c r="C3" s="19"/>
      <c r="D3" s="19"/>
      <c r="E3" s="19"/>
      <c r="F3" s="19"/>
      <c r="G3" s="19"/>
      <c r="H3" s="19"/>
      <c r="I3" s="19"/>
    </row>
    <row r="4" spans="2:9" ht="17.45" customHeight="1" x14ac:dyDescent="0.2">
      <c r="B4" s="20" t="s">
        <v>49</v>
      </c>
      <c r="C4" s="19"/>
      <c r="D4" s="19"/>
      <c r="E4" s="19"/>
      <c r="F4" s="19"/>
      <c r="G4" s="19"/>
      <c r="H4" s="19"/>
      <c r="I4" s="19"/>
    </row>
    <row r="5" spans="2:9" ht="15.75" customHeight="1" x14ac:dyDescent="0.2">
      <c r="B5" s="27" t="s">
        <v>50</v>
      </c>
      <c r="C5" s="27" t="s">
        <v>51</v>
      </c>
      <c r="D5" s="27" t="s">
        <v>52</v>
      </c>
      <c r="E5" s="27" t="s">
        <v>45</v>
      </c>
      <c r="F5" s="27" t="s">
        <v>53</v>
      </c>
      <c r="G5" s="27" t="s">
        <v>54</v>
      </c>
      <c r="H5" s="27" t="s">
        <v>55</v>
      </c>
      <c r="I5" s="27" t="s">
        <v>56</v>
      </c>
    </row>
    <row r="6" spans="2:9" ht="47.25" customHeight="1" x14ac:dyDescent="0.2">
      <c r="B6" s="9" t="s">
        <v>57</v>
      </c>
      <c r="C6" s="9" t="s">
        <v>58</v>
      </c>
      <c r="D6" s="9" t="s">
        <v>59</v>
      </c>
      <c r="E6" s="9" t="s">
        <v>45</v>
      </c>
      <c r="F6" s="9" t="s">
        <v>60</v>
      </c>
      <c r="G6" s="9" t="s">
        <v>61</v>
      </c>
      <c r="H6" s="9" t="s">
        <v>62</v>
      </c>
      <c r="I6" s="9" t="s">
        <v>63</v>
      </c>
    </row>
    <row r="7" spans="2:9" ht="18.75" customHeight="1" x14ac:dyDescent="0.2">
      <c r="B7" s="74" t="s">
        <v>64</v>
      </c>
      <c r="C7" s="69" t="s">
        <v>159</v>
      </c>
      <c r="D7" s="73" t="s">
        <v>71</v>
      </c>
      <c r="E7" s="73" t="s">
        <v>65</v>
      </c>
      <c r="F7" s="65"/>
      <c r="G7" s="73"/>
      <c r="H7" s="65"/>
      <c r="I7" s="65"/>
    </row>
    <row r="8" spans="2:9" ht="18.75" customHeight="1" x14ac:dyDescent="0.2">
      <c r="B8" s="74" t="s">
        <v>64</v>
      </c>
      <c r="C8" s="69" t="s">
        <v>160</v>
      </c>
      <c r="D8" s="73" t="s">
        <v>72</v>
      </c>
      <c r="E8" s="73" t="s">
        <v>65</v>
      </c>
      <c r="F8" s="65"/>
      <c r="G8" s="73"/>
      <c r="H8" s="65"/>
      <c r="I8" s="65"/>
    </row>
    <row r="9" spans="2:9" ht="18.75" customHeight="1" x14ac:dyDescent="0.2">
      <c r="B9" s="74" t="s">
        <v>64</v>
      </c>
      <c r="C9" s="69" t="s">
        <v>161</v>
      </c>
      <c r="D9" s="73" t="s">
        <v>73</v>
      </c>
      <c r="E9" s="73" t="s">
        <v>65</v>
      </c>
      <c r="F9" s="65"/>
      <c r="G9" s="73"/>
      <c r="H9" s="65"/>
      <c r="I9" s="65"/>
    </row>
    <row r="10" spans="2:9" ht="18.75" customHeight="1" x14ac:dyDescent="0.2">
      <c r="B10" s="74" t="s">
        <v>64</v>
      </c>
      <c r="C10" s="69" t="s">
        <v>162</v>
      </c>
      <c r="D10" s="73" t="s">
        <v>74</v>
      </c>
      <c r="E10" s="73" t="s">
        <v>65</v>
      </c>
      <c r="F10" s="65"/>
      <c r="G10" s="73"/>
      <c r="H10" s="65"/>
      <c r="I10" s="65"/>
    </row>
    <row r="11" spans="2:9" ht="18.75" customHeight="1" x14ac:dyDescent="0.2">
      <c r="B11" s="75" t="s">
        <v>64</v>
      </c>
      <c r="C11" s="69" t="s">
        <v>163</v>
      </c>
      <c r="D11" s="73" t="s">
        <v>75</v>
      </c>
      <c r="E11" s="73" t="s">
        <v>65</v>
      </c>
      <c r="F11" s="73"/>
      <c r="G11" s="73"/>
      <c r="H11" s="65"/>
      <c r="I11" s="65"/>
    </row>
    <row r="12" spans="2:9" ht="18.75" customHeight="1" x14ac:dyDescent="0.2">
      <c r="H12" s="73"/>
      <c r="I12" s="73"/>
    </row>
    <row r="13" spans="2:9" ht="18.75" customHeight="1" x14ac:dyDescent="0.2">
      <c r="B13" s="80"/>
      <c r="C13" s="69"/>
      <c r="D13" s="73"/>
      <c r="E13" s="73"/>
      <c r="F13" s="73"/>
      <c r="G13" s="73"/>
      <c r="H13" s="73"/>
      <c r="I13" s="73"/>
    </row>
    <row r="14" spans="2:9" ht="18.75" customHeight="1" x14ac:dyDescent="0.2">
      <c r="B14" s="74" t="s">
        <v>64</v>
      </c>
      <c r="C14" s="84" t="s">
        <v>178</v>
      </c>
      <c r="D14" s="73" t="s">
        <v>70</v>
      </c>
      <c r="E14" s="73" t="s">
        <v>65</v>
      </c>
      <c r="F14" s="65"/>
      <c r="G14" s="73"/>
      <c r="H14" s="73"/>
      <c r="I14" s="73"/>
    </row>
    <row r="15" spans="2:9" ht="18.75" customHeight="1" x14ac:dyDescent="0.2">
      <c r="B15" s="80" t="s">
        <v>64</v>
      </c>
      <c r="C15" s="69" t="s">
        <v>172</v>
      </c>
      <c r="D15" s="73" t="s">
        <v>152</v>
      </c>
      <c r="E15" s="73" t="s">
        <v>65</v>
      </c>
      <c r="F15" s="73"/>
      <c r="G15" s="73"/>
      <c r="H15" s="73"/>
      <c r="I15" s="73"/>
    </row>
    <row r="16" spans="2:9" ht="18.75" customHeight="1" x14ac:dyDescent="0.2">
      <c r="B16" s="75" t="s">
        <v>64</v>
      </c>
      <c r="C16" s="69" t="s">
        <v>173</v>
      </c>
      <c r="D16" s="73" t="s">
        <v>153</v>
      </c>
      <c r="E16" s="73" t="s">
        <v>65</v>
      </c>
      <c r="F16" s="73"/>
      <c r="G16" s="73"/>
      <c r="H16" s="73"/>
      <c r="I16" s="73"/>
    </row>
    <row r="17" spans="2:9" ht="18.75" customHeight="1" x14ac:dyDescent="0.2">
      <c r="B17" s="75" t="s">
        <v>64</v>
      </c>
      <c r="C17" s="69" t="s">
        <v>174</v>
      </c>
      <c r="D17" s="73" t="s">
        <v>154</v>
      </c>
      <c r="E17" s="73" t="s">
        <v>65</v>
      </c>
      <c r="F17" s="73"/>
      <c r="G17" s="73"/>
      <c r="H17" s="73"/>
      <c r="I17" s="73"/>
    </row>
    <row r="18" spans="2:9" ht="18.75" customHeight="1" x14ac:dyDescent="0.2">
      <c r="B18" s="75" t="s">
        <v>64</v>
      </c>
      <c r="C18" s="69" t="s">
        <v>179</v>
      </c>
      <c r="D18" s="73" t="s">
        <v>155</v>
      </c>
      <c r="E18" s="73" t="s">
        <v>65</v>
      </c>
      <c r="F18" s="73"/>
      <c r="G18" s="73"/>
      <c r="H18" s="73"/>
      <c r="I18" s="83"/>
    </row>
    <row r="19" spans="2:9" ht="18.75" customHeight="1" x14ac:dyDescent="0.2">
      <c r="B19" s="75" t="s">
        <v>64</v>
      </c>
      <c r="C19" s="69" t="s">
        <v>175</v>
      </c>
      <c r="D19" s="73" t="s">
        <v>156</v>
      </c>
      <c r="E19" s="73" t="s">
        <v>65</v>
      </c>
      <c r="F19" s="73"/>
      <c r="G19" s="73"/>
      <c r="H19" s="73"/>
      <c r="I19" s="73"/>
    </row>
    <row r="20" spans="2:9" ht="18.75" customHeight="1" x14ac:dyDescent="0.2">
      <c r="B20" s="75" t="s">
        <v>64</v>
      </c>
      <c r="C20" s="69" t="s">
        <v>176</v>
      </c>
      <c r="D20" s="73" t="s">
        <v>157</v>
      </c>
      <c r="E20" s="73" t="s">
        <v>65</v>
      </c>
      <c r="F20" s="73"/>
      <c r="G20" s="73"/>
      <c r="H20" s="73"/>
      <c r="I20" s="73"/>
    </row>
    <row r="21" spans="2:9" ht="18.75" customHeight="1" x14ac:dyDescent="0.2">
      <c r="B21" s="75" t="s">
        <v>64</v>
      </c>
      <c r="C21" s="69" t="s">
        <v>177</v>
      </c>
      <c r="D21" s="73" t="s">
        <v>158</v>
      </c>
      <c r="E21" s="73" t="s">
        <v>65</v>
      </c>
      <c r="F21" s="73"/>
      <c r="G21" s="73"/>
      <c r="H21" s="73"/>
      <c r="I21" s="73"/>
    </row>
    <row r="24" spans="2:9" ht="18" x14ac:dyDescent="0.25">
      <c r="B24" s="46" t="s">
        <v>76</v>
      </c>
      <c r="C24" s="47"/>
      <c r="D24" s="47"/>
    </row>
    <row r="26" spans="2:9" x14ac:dyDescent="0.2">
      <c r="B26" s="20" t="s">
        <v>77</v>
      </c>
    </row>
    <row r="27" spans="2:9" x14ac:dyDescent="0.2">
      <c r="B27" s="54" t="s">
        <v>50</v>
      </c>
      <c r="C27" s="54" t="s">
        <v>51</v>
      </c>
      <c r="D27" s="54" t="s">
        <v>52</v>
      </c>
      <c r="E27" s="54" t="s">
        <v>45</v>
      </c>
      <c r="F27" s="54" t="s">
        <v>53</v>
      </c>
      <c r="G27" s="54" t="s">
        <v>54</v>
      </c>
      <c r="H27" s="54" t="s">
        <v>55</v>
      </c>
      <c r="I27" s="54" t="s">
        <v>56</v>
      </c>
    </row>
    <row r="28" spans="2:9" x14ac:dyDescent="0.2">
      <c r="B28" s="55" t="s">
        <v>67</v>
      </c>
      <c r="C28" s="55" t="s">
        <v>78</v>
      </c>
      <c r="D28" s="55" t="s">
        <v>79</v>
      </c>
      <c r="E28" s="55" t="s">
        <v>65</v>
      </c>
      <c r="F28" s="76"/>
      <c r="G28" s="55" t="s">
        <v>66</v>
      </c>
      <c r="H28" s="76"/>
      <c r="I28" s="76"/>
    </row>
    <row r="29" spans="2:9" x14ac:dyDescent="0.2">
      <c r="B29" s="55" t="s">
        <v>67</v>
      </c>
      <c r="C29" s="55" t="s">
        <v>68</v>
      </c>
      <c r="D29" s="55" t="s">
        <v>80</v>
      </c>
      <c r="E29" s="55" t="s">
        <v>65</v>
      </c>
      <c r="F29" s="76"/>
      <c r="G29" s="55" t="s">
        <v>66</v>
      </c>
      <c r="H29" s="76"/>
      <c r="I29" s="76"/>
    </row>
    <row r="30" spans="2:9" x14ac:dyDescent="0.2">
      <c r="B30" s="55" t="s">
        <v>67</v>
      </c>
      <c r="C30" s="55" t="s">
        <v>69</v>
      </c>
      <c r="D30" s="55" t="s">
        <v>81</v>
      </c>
      <c r="E30" s="55" t="s">
        <v>65</v>
      </c>
      <c r="F30" s="55"/>
      <c r="G30" s="55" t="s">
        <v>66</v>
      </c>
      <c r="H30" s="55"/>
      <c r="I30" s="55"/>
    </row>
    <row r="34" ht="13.7" customHeight="1" x14ac:dyDescent="0.2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8"/>
  <sheetViews>
    <sheetView workbookViewId="0">
      <selection activeCell="B7" sqref="B7"/>
    </sheetView>
  </sheetViews>
  <sheetFormatPr defaultRowHeight="12.75" x14ac:dyDescent="0.2"/>
  <cols>
    <col min="1" max="1" width="3" customWidth="1"/>
    <col min="2" max="2" width="21" customWidth="1"/>
    <col min="3" max="3" width="19" customWidth="1"/>
    <col min="4" max="4" width="28" customWidth="1"/>
    <col min="5" max="5" width="64.7109375" customWidth="1"/>
    <col min="6" max="8" width="11" customWidth="1"/>
    <col min="9" max="9" width="14" customWidth="1"/>
    <col min="10" max="10" width="11" customWidth="1"/>
  </cols>
  <sheetData>
    <row r="2" spans="2:10" ht="15.75" customHeight="1" x14ac:dyDescent="0.25">
      <c r="B2" s="46" t="s">
        <v>82</v>
      </c>
      <c r="C2" s="48"/>
      <c r="D2" s="48"/>
      <c r="E2" s="21"/>
      <c r="F2" s="21"/>
      <c r="G2" s="21"/>
      <c r="H2" s="21"/>
      <c r="I2" s="21"/>
      <c r="J2" s="21"/>
    </row>
    <row r="3" spans="2:10" x14ac:dyDescent="0.2">
      <c r="B3" s="20"/>
      <c r="C3" s="20"/>
      <c r="D3" s="21"/>
      <c r="E3" s="21"/>
      <c r="F3" s="21"/>
      <c r="G3" s="21"/>
      <c r="H3" s="21"/>
      <c r="I3" s="21"/>
      <c r="J3" s="21"/>
    </row>
    <row r="4" spans="2:10" ht="15.75" customHeight="1" x14ac:dyDescent="0.2">
      <c r="B4" s="20" t="s">
        <v>83</v>
      </c>
      <c r="C4" s="20"/>
      <c r="D4" s="21"/>
      <c r="E4" s="21"/>
      <c r="F4" s="21"/>
      <c r="G4" s="21"/>
      <c r="H4" s="21"/>
      <c r="I4" s="21"/>
      <c r="J4" s="21"/>
    </row>
    <row r="5" spans="2:10" ht="15.75" customHeight="1" x14ac:dyDescent="0.2">
      <c r="B5" s="27" t="s">
        <v>84</v>
      </c>
      <c r="C5" s="27" t="s">
        <v>85</v>
      </c>
      <c r="D5" s="27" t="s">
        <v>86</v>
      </c>
      <c r="E5" s="27" t="s">
        <v>87</v>
      </c>
      <c r="F5" s="27" t="s">
        <v>88</v>
      </c>
      <c r="G5" s="27" t="s">
        <v>89</v>
      </c>
      <c r="H5" s="27" t="s">
        <v>90</v>
      </c>
      <c r="I5" s="27" t="s">
        <v>91</v>
      </c>
      <c r="J5" s="27" t="s">
        <v>92</v>
      </c>
    </row>
    <row r="6" spans="2:10" ht="38.25" x14ac:dyDescent="0.2">
      <c r="B6" s="9" t="s">
        <v>93</v>
      </c>
      <c r="C6" s="67" t="s">
        <v>94</v>
      </c>
      <c r="D6" s="67" t="s">
        <v>95</v>
      </c>
      <c r="E6" s="67" t="s">
        <v>96</v>
      </c>
      <c r="F6" s="67" t="s">
        <v>97</v>
      </c>
      <c r="G6" s="67" t="s">
        <v>98</v>
      </c>
      <c r="H6" s="67" t="s">
        <v>61</v>
      </c>
      <c r="I6" s="68" t="s">
        <v>99</v>
      </c>
      <c r="J6" s="68" t="s">
        <v>100</v>
      </c>
    </row>
    <row r="7" spans="2:10" ht="18.75" customHeight="1" x14ac:dyDescent="0.2">
      <c r="B7" s="23" t="s">
        <v>122</v>
      </c>
      <c r="C7" s="23" t="s">
        <v>101</v>
      </c>
      <c r="D7" s="74" t="s">
        <v>103</v>
      </c>
      <c r="E7" s="25" t="s">
        <v>104</v>
      </c>
      <c r="F7" s="72" t="s">
        <v>65</v>
      </c>
      <c r="G7" s="72" t="s">
        <v>102</v>
      </c>
      <c r="H7" s="71" t="s">
        <v>66</v>
      </c>
      <c r="I7" s="66"/>
      <c r="J7" s="66"/>
    </row>
    <row r="8" spans="2:10" ht="18.75" customHeight="1" x14ac:dyDescent="0.2">
      <c r="B8" s="23" t="s">
        <v>122</v>
      </c>
      <c r="C8" s="23" t="s">
        <v>101</v>
      </c>
      <c r="D8" s="74" t="s">
        <v>105</v>
      </c>
      <c r="E8" s="25" t="s">
        <v>106</v>
      </c>
      <c r="F8" s="72" t="s">
        <v>65</v>
      </c>
      <c r="G8" s="72" t="s">
        <v>102</v>
      </c>
      <c r="H8" s="71" t="s">
        <v>66</v>
      </c>
      <c r="I8" s="66"/>
      <c r="J8" s="66"/>
    </row>
    <row r="9" spans="2:10" ht="18.75" customHeight="1" x14ac:dyDescent="0.2">
      <c r="B9" s="23" t="s">
        <v>122</v>
      </c>
      <c r="C9" s="23" t="s">
        <v>101</v>
      </c>
      <c r="D9" s="74" t="s">
        <v>107</v>
      </c>
      <c r="E9" s="25" t="s">
        <v>108</v>
      </c>
      <c r="F9" s="72" t="s">
        <v>65</v>
      </c>
      <c r="G9" s="72" t="s">
        <v>102</v>
      </c>
      <c r="H9" s="71" t="s">
        <v>66</v>
      </c>
      <c r="I9" s="66"/>
      <c r="J9" s="66"/>
    </row>
    <row r="10" spans="2:10" ht="18.75" customHeight="1" x14ac:dyDescent="0.2">
      <c r="B10" s="23" t="s">
        <v>122</v>
      </c>
      <c r="C10" s="23" t="s">
        <v>101</v>
      </c>
      <c r="D10" s="74" t="s">
        <v>109</v>
      </c>
      <c r="E10" s="25" t="s">
        <v>110</v>
      </c>
      <c r="F10" s="72" t="s">
        <v>65</v>
      </c>
      <c r="G10" s="72" t="s">
        <v>102</v>
      </c>
      <c r="H10" s="71" t="s">
        <v>66</v>
      </c>
      <c r="I10" s="66"/>
      <c r="J10" s="66"/>
    </row>
    <row r="11" spans="2:10" ht="18.75" customHeight="1" x14ac:dyDescent="0.2">
      <c r="B11" s="23" t="s">
        <v>122</v>
      </c>
      <c r="C11" s="23" t="s">
        <v>101</v>
      </c>
      <c r="D11" s="70" t="s">
        <v>111</v>
      </c>
      <c r="E11" s="25" t="s">
        <v>112</v>
      </c>
      <c r="F11" s="72" t="s">
        <v>65</v>
      </c>
      <c r="G11" s="72" t="s">
        <v>102</v>
      </c>
      <c r="H11" s="71" t="s">
        <v>66</v>
      </c>
      <c r="I11" s="23"/>
      <c r="J11" s="23"/>
    </row>
    <row r="12" spans="2:10" ht="18.75" customHeight="1" x14ac:dyDescent="0.2">
      <c r="B12" s="23"/>
      <c r="C12" s="23"/>
      <c r="D12" s="70"/>
      <c r="E12" s="25"/>
      <c r="F12" s="72"/>
      <c r="G12" s="72"/>
      <c r="H12" s="71"/>
      <c r="I12" s="23"/>
      <c r="J12" s="23"/>
    </row>
    <row r="13" spans="2:10" ht="18.75" customHeight="1" x14ac:dyDescent="0.2">
      <c r="B13" s="23"/>
      <c r="C13" s="23"/>
      <c r="D13" s="70"/>
      <c r="E13" s="25"/>
      <c r="F13" s="72"/>
      <c r="G13" s="72"/>
      <c r="H13" s="71"/>
      <c r="I13" s="23"/>
      <c r="J13" s="23"/>
    </row>
    <row r="14" spans="2:10" ht="18.75" customHeight="1" x14ac:dyDescent="0.2">
      <c r="B14" s="23"/>
      <c r="C14" s="23"/>
      <c r="D14" s="70"/>
      <c r="E14" s="25"/>
      <c r="F14" s="72"/>
      <c r="G14" s="72"/>
      <c r="H14" s="71"/>
      <c r="I14" s="23"/>
      <c r="J14" s="23"/>
    </row>
    <row r="15" spans="2:10" ht="18.75" customHeight="1" x14ac:dyDescent="0.2">
      <c r="B15" s="23"/>
      <c r="C15" s="23"/>
      <c r="D15" s="70"/>
      <c r="E15" s="25"/>
      <c r="F15" s="72"/>
      <c r="G15" s="72"/>
      <c r="H15" s="71"/>
      <c r="I15" s="23"/>
      <c r="J15" s="23"/>
    </row>
    <row r="16" spans="2:10" ht="18.75" customHeight="1" x14ac:dyDescent="0.2">
      <c r="B16" s="23"/>
      <c r="C16" s="23"/>
      <c r="D16" s="70"/>
      <c r="E16" s="25"/>
      <c r="F16" s="72"/>
      <c r="G16" s="72"/>
      <c r="H16" s="71"/>
      <c r="I16" s="23"/>
      <c r="J16" s="23"/>
    </row>
    <row r="17" spans="2:10" ht="18.75" customHeight="1" x14ac:dyDescent="0.2">
      <c r="B17" s="23"/>
      <c r="C17" s="23"/>
      <c r="D17" s="70"/>
      <c r="E17" s="25"/>
      <c r="F17" s="72"/>
      <c r="G17" s="72"/>
      <c r="H17" s="71"/>
      <c r="I17" s="23"/>
      <c r="J17" s="23"/>
    </row>
    <row r="19" spans="2:10" x14ac:dyDescent="0.2">
      <c r="B19" s="95" t="s">
        <v>113</v>
      </c>
      <c r="C19" s="95"/>
      <c r="D19" s="95"/>
    </row>
    <row r="20" spans="2:10" x14ac:dyDescent="0.2">
      <c r="B20" s="41" t="s">
        <v>114</v>
      </c>
      <c r="C20" s="41" t="s">
        <v>115</v>
      </c>
      <c r="D20" s="41"/>
    </row>
    <row r="21" spans="2:10" x14ac:dyDescent="0.2">
      <c r="B21" s="42" t="s">
        <v>116</v>
      </c>
      <c r="C21" s="42" t="s">
        <v>117</v>
      </c>
      <c r="D21" s="42"/>
    </row>
    <row r="22" spans="2:10" x14ac:dyDescent="0.2">
      <c r="B22" s="41" t="s">
        <v>118</v>
      </c>
      <c r="C22" s="41" t="s">
        <v>119</v>
      </c>
      <c r="D22" s="41"/>
    </row>
    <row r="23" spans="2:10" x14ac:dyDescent="0.2">
      <c r="B23" s="42" t="s">
        <v>120</v>
      </c>
      <c r="C23" s="42" t="s">
        <v>121</v>
      </c>
      <c r="D23" s="42"/>
    </row>
    <row r="24" spans="2:10" x14ac:dyDescent="0.2">
      <c r="B24" s="41" t="s">
        <v>122</v>
      </c>
      <c r="C24" s="41" t="s">
        <v>123</v>
      </c>
      <c r="D24" s="41" t="s">
        <v>124</v>
      </c>
    </row>
    <row r="25" spans="2:10" x14ac:dyDescent="0.2">
      <c r="B25" s="42" t="s">
        <v>125</v>
      </c>
      <c r="C25" s="42" t="s">
        <v>126</v>
      </c>
      <c r="D25" s="42" t="s">
        <v>127</v>
      </c>
    </row>
    <row r="26" spans="2:10" x14ac:dyDescent="0.2">
      <c r="B26" s="41" t="s">
        <v>128</v>
      </c>
      <c r="C26" s="41" t="s">
        <v>129</v>
      </c>
      <c r="D26" s="41" t="s">
        <v>130</v>
      </c>
    </row>
    <row r="27" spans="2:10" x14ac:dyDescent="0.2">
      <c r="B27" s="42" t="s">
        <v>131</v>
      </c>
      <c r="C27" s="42" t="s">
        <v>132</v>
      </c>
      <c r="D27" s="42" t="s">
        <v>127</v>
      </c>
    </row>
    <row r="28" spans="2:10" ht="13.5" thickBot="1" x14ac:dyDescent="0.25">
      <c r="B28" s="43" t="s">
        <v>133</v>
      </c>
      <c r="C28" s="43" t="s">
        <v>134</v>
      </c>
      <c r="D28" s="43"/>
    </row>
  </sheetData>
  <mergeCells count="1">
    <mergeCell ref="B19:D1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40"/>
  <sheetViews>
    <sheetView topLeftCell="B1" zoomScale="91" zoomScaleNormal="85" workbookViewId="0">
      <selection activeCell="M35" sqref="M35"/>
    </sheetView>
  </sheetViews>
  <sheetFormatPr defaultRowHeight="12.75" x14ac:dyDescent="0.2"/>
  <cols>
    <col min="1" max="1" width="3" customWidth="1"/>
    <col min="2" max="2" width="19.140625" customWidth="1"/>
    <col min="3" max="3" width="59.5703125" customWidth="1"/>
    <col min="4" max="4" width="19" customWidth="1"/>
    <col min="5" max="5" width="17.85546875" customWidth="1"/>
    <col min="6" max="12" width="12.5703125" customWidth="1"/>
    <col min="13" max="13" width="9.42578125" customWidth="1"/>
    <col min="14" max="14" width="12.5703125" customWidth="1"/>
  </cols>
  <sheetData>
    <row r="2" spans="2:14" ht="18" x14ac:dyDescent="0.25">
      <c r="B2" s="45" t="s">
        <v>135</v>
      </c>
      <c r="C2" s="18"/>
      <c r="E2" s="12"/>
      <c r="F2" s="12"/>
      <c r="G2" s="12"/>
      <c r="H2" s="12"/>
      <c r="I2" s="12"/>
      <c r="J2" s="12"/>
      <c r="K2" s="12"/>
      <c r="L2" s="12"/>
    </row>
    <row r="3" spans="2:14" x14ac:dyDescent="0.2">
      <c r="B3" s="13"/>
      <c r="C3" s="11"/>
      <c r="E3" s="12"/>
      <c r="F3" s="12"/>
      <c r="G3" s="12"/>
      <c r="H3" s="12"/>
      <c r="I3" s="12"/>
      <c r="J3" s="12"/>
      <c r="K3" s="12"/>
      <c r="L3" s="12"/>
    </row>
    <row r="4" spans="2:14" ht="15.75" customHeight="1" x14ac:dyDescent="0.2">
      <c r="E4" s="15" t="s">
        <v>136</v>
      </c>
      <c r="F4" s="15"/>
      <c r="G4" s="15"/>
      <c r="H4" s="15"/>
      <c r="I4" s="15"/>
      <c r="J4" s="15"/>
      <c r="K4" s="15"/>
      <c r="L4" s="15"/>
      <c r="M4" s="14"/>
      <c r="N4" s="14"/>
    </row>
    <row r="5" spans="2:14" ht="15.75" customHeight="1" x14ac:dyDescent="0.2">
      <c r="B5" s="27" t="s">
        <v>86</v>
      </c>
      <c r="C5" s="27" t="s">
        <v>137</v>
      </c>
      <c r="D5" s="27" t="s">
        <v>138</v>
      </c>
      <c r="E5" s="27" t="s">
        <v>139</v>
      </c>
      <c r="F5" s="27" t="s">
        <v>171</v>
      </c>
      <c r="G5" s="27" t="s">
        <v>165</v>
      </c>
      <c r="H5" s="27" t="s">
        <v>166</v>
      </c>
      <c r="I5" s="27" t="s">
        <v>167</v>
      </c>
      <c r="J5" s="27" t="s">
        <v>168</v>
      </c>
      <c r="K5" s="27" t="s">
        <v>169</v>
      </c>
      <c r="L5" s="27" t="s">
        <v>170</v>
      </c>
      <c r="M5" s="27" t="s">
        <v>140</v>
      </c>
      <c r="N5" s="27" t="s">
        <v>141</v>
      </c>
    </row>
    <row r="6" spans="2:14" ht="31.7" customHeight="1" x14ac:dyDescent="0.2">
      <c r="B6" s="9" t="s">
        <v>142</v>
      </c>
      <c r="C6" s="9" t="s">
        <v>96</v>
      </c>
      <c r="D6" s="9" t="s">
        <v>143</v>
      </c>
      <c r="E6" s="9" t="s">
        <v>144</v>
      </c>
      <c r="F6" s="9"/>
      <c r="G6" s="9"/>
      <c r="H6" s="9"/>
      <c r="I6" s="9"/>
      <c r="J6" s="9"/>
      <c r="K6" s="9"/>
      <c r="L6" s="9"/>
      <c r="M6" s="9" t="s">
        <v>37</v>
      </c>
      <c r="N6" s="9" t="s">
        <v>145</v>
      </c>
    </row>
    <row r="7" spans="2:14" ht="15.75" customHeight="1" x14ac:dyDescent="0.2">
      <c r="B7" s="22" t="str">
        <f>SEC_Processes!$D$7</f>
        <v>ELE_DMD_RES</v>
      </c>
      <c r="C7" s="22" t="str">
        <f>SEC_Processes!$E$7</f>
        <v>Electricity - Final Energy Demand Residential</v>
      </c>
      <c r="D7" s="22" t="str">
        <f>SEC_Comm!C14</f>
        <v>ELEC_LV_DIST</v>
      </c>
      <c r="E7" s="22" t="str">
        <f>SEC_Comm!$C$7</f>
        <v>DEM_FIN_RES</v>
      </c>
      <c r="F7" s="77">
        <f>'[2]CORRECT SITUATION'!$F$11</f>
        <v>0.55979578682436237</v>
      </c>
      <c r="G7" s="77" cm="1">
        <f t="array" ref="G7:L7">'[2]CORRECT SITUATION'!$Q$36:$V$36</f>
        <v>0.5809425872813051</v>
      </c>
      <c r="H7" s="77">
        <v>0.57781445001989329</v>
      </c>
      <c r="I7" s="77">
        <v>0.55868755662398373</v>
      </c>
      <c r="J7" s="77">
        <v>0.50776607114217132</v>
      </c>
      <c r="K7" s="77">
        <v>0.44808136198919235</v>
      </c>
      <c r="L7" s="77">
        <v>0.39870323247862494</v>
      </c>
      <c r="M7" s="44">
        <v>1</v>
      </c>
      <c r="N7" s="44">
        <v>1</v>
      </c>
    </row>
    <row r="8" spans="2:14" ht="15.75" customHeight="1" x14ac:dyDescent="0.2">
      <c r="B8" s="22"/>
      <c r="C8" s="22"/>
      <c r="D8" s="22" t="str">
        <f>SEC_Comm!C15</f>
        <v>DIESEL</v>
      </c>
      <c r="E8" s="22" t="str">
        <f>SEC_Comm!$C$7</f>
        <v>DEM_FIN_RES</v>
      </c>
      <c r="F8" s="77">
        <f>'[2]CORRECT SITUATION'!$C$11</f>
        <v>8.4263512753092351E-2</v>
      </c>
      <c r="G8" s="77" cm="1">
        <f t="array" ref="G8:L8">'[2]CORRECT SITUATION'!$Q$33:$V$33</f>
        <v>2.7379431683990412E-2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44">
        <v>1</v>
      </c>
      <c r="N8" s="44">
        <v>1</v>
      </c>
    </row>
    <row r="9" spans="2:14" ht="15.75" customHeight="1" x14ac:dyDescent="0.2">
      <c r="B9" s="22"/>
      <c r="C9" s="22"/>
      <c r="D9" s="22" t="str">
        <f>SEC_Comm!C16</f>
        <v>OGL</v>
      </c>
      <c r="E9" s="22" t="str">
        <f>SEC_Comm!$C$7</f>
        <v>DEM_FIN_RES</v>
      </c>
      <c r="F9" s="77">
        <f>'[2]CORRECT SITUATION'!$D$11</f>
        <v>0.26092632569750662</v>
      </c>
      <c r="G9" s="77" cm="1">
        <f t="array" ref="G9:L9">'[2]CORRECT SITUATION'!$Q$34:$V$34</f>
        <v>0.2424600783570193</v>
      </c>
      <c r="H9" s="77">
        <v>0.14317596912369035</v>
      </c>
      <c r="I9" s="77">
        <v>3.8999429627396852E-2</v>
      </c>
      <c r="J9" s="77">
        <v>0</v>
      </c>
      <c r="K9" s="77">
        <v>0</v>
      </c>
      <c r="L9" s="77">
        <v>0</v>
      </c>
      <c r="M9" s="44">
        <v>1</v>
      </c>
      <c r="N9" s="44">
        <v>1</v>
      </c>
    </row>
    <row r="10" spans="2:14" ht="15.75" customHeight="1" x14ac:dyDescent="0.2">
      <c r="B10" s="22"/>
      <c r="C10" s="22"/>
      <c r="D10" s="22" t="str">
        <f>SEC_Comm!C17</f>
        <v>NLG</v>
      </c>
      <c r="E10" s="22" t="str">
        <f>SEC_Comm!$C$7</f>
        <v>DEM_FIN_RES</v>
      </c>
      <c r="F10" s="77">
        <f>'[2]CORRECT SITUATION'!$E$11</f>
        <v>9.5014374725038611E-2</v>
      </c>
      <c r="G10" s="77" cm="1">
        <f t="array" ref="G10:L10">'[2]CORRECT SITUATION'!$Q$35:$V$35</f>
        <v>0.1492179026776852</v>
      </c>
      <c r="H10" s="77">
        <v>0.27900958085641642</v>
      </c>
      <c r="I10" s="77">
        <v>0.40231301374861939</v>
      </c>
      <c r="J10" s="77">
        <v>0.49223392885782874</v>
      </c>
      <c r="K10" s="77">
        <v>0.55191863801080765</v>
      </c>
      <c r="L10" s="77">
        <v>0.60129676752137506</v>
      </c>
      <c r="M10" s="44">
        <v>1</v>
      </c>
      <c r="N10" s="44">
        <v>1</v>
      </c>
    </row>
    <row r="11" spans="2:14" ht="15.75" customHeight="1" x14ac:dyDescent="0.2">
      <c r="B11" s="22" t="str">
        <f>SEC_Processes!$D$8</f>
        <v>ELE_DMD_IND</v>
      </c>
      <c r="C11" s="22" t="str">
        <f>SEC_Processes!$E$8</f>
        <v>Electricity - Final Energy Demand Industrial</v>
      </c>
      <c r="D11" s="22" t="str">
        <f>SEC_Comm!C14</f>
        <v>ELEC_LV_DIST</v>
      </c>
      <c r="E11" s="22" t="str">
        <f>SEC_Comm!$C$8</f>
        <v>DEM_FIN_IND</v>
      </c>
      <c r="F11" s="77">
        <f>[3]Foglio2!$G$8</f>
        <v>0.46304555209532677</v>
      </c>
      <c r="G11" s="77" cm="1">
        <f t="array" ref="G11:L11">[3]Foglio2!$R$39:$W$39</f>
        <v>0.40273349292030797</v>
      </c>
      <c r="H11" s="77">
        <v>0.2556014012467292</v>
      </c>
      <c r="I11" s="77">
        <v>0.12782710485253659</v>
      </c>
      <c r="J11" s="77">
        <v>1.5632093373370223E-2</v>
      </c>
      <c r="K11" s="77">
        <v>0</v>
      </c>
      <c r="L11" s="77">
        <v>0</v>
      </c>
      <c r="M11" s="44">
        <v>1</v>
      </c>
      <c r="N11" s="44">
        <v>1</v>
      </c>
    </row>
    <row r="12" spans="2:14" ht="15.75" customHeight="1" x14ac:dyDescent="0.2">
      <c r="B12" s="22"/>
      <c r="C12" s="22"/>
      <c r="D12" s="22" t="s">
        <v>172</v>
      </c>
      <c r="E12" s="22" t="str">
        <f>SEC_Comm!$C$8</f>
        <v>DEM_FIN_IND</v>
      </c>
      <c r="F12" s="77">
        <f>[3]Foglio2!$B$8</f>
        <v>2.5717995162723144E-2</v>
      </c>
      <c r="G12" s="77" cm="1">
        <f t="array" ref="G12:L12">[3]Foglio2!$R$34:$W$34</f>
        <v>2.8607342949816098E-2</v>
      </c>
      <c r="H12" s="77">
        <v>3.5658147636268525E-2</v>
      </c>
      <c r="I12" s="77">
        <v>4.1781295873862E-2</v>
      </c>
      <c r="J12" s="77">
        <v>4.6570523655814086E-2</v>
      </c>
      <c r="K12" s="77">
        <v>4.632800873137715E-2</v>
      </c>
      <c r="L12" s="77">
        <v>4.5619755935101418E-2</v>
      </c>
      <c r="M12" s="44">
        <v>1</v>
      </c>
      <c r="N12" s="44">
        <v>1</v>
      </c>
    </row>
    <row r="13" spans="2:14" ht="15.75" customHeight="1" x14ac:dyDescent="0.2">
      <c r="B13" s="22"/>
      <c r="C13" s="22"/>
      <c r="D13" s="22" t="str">
        <f>SEC_Comm!C20</f>
        <v>GASOLINE</v>
      </c>
      <c r="E13" s="22" t="str">
        <f>SEC_Comm!$C$8</f>
        <v>DEM_FIN_IND</v>
      </c>
      <c r="F13" s="77">
        <f>[3]Foglio2!$C$8</f>
        <v>8.3096927613609511E-2</v>
      </c>
      <c r="G13" s="77" cm="1">
        <f t="array" ref="G13:L13">[3]Foglio2!$R$35:$W$35</f>
        <v>9.2377878275447772E-2</v>
      </c>
      <c r="H13" s="77">
        <v>0.11505338467307603</v>
      </c>
      <c r="I13" s="77">
        <v>0.13474553233700756</v>
      </c>
      <c r="J13" s="77">
        <v>0.15014315742073636</v>
      </c>
      <c r="K13" s="77">
        <v>0.14932750354068577</v>
      </c>
      <c r="L13" s="77">
        <v>0.1470197332133498</v>
      </c>
      <c r="M13" s="44">
        <v>1</v>
      </c>
      <c r="N13" s="44">
        <v>1</v>
      </c>
    </row>
    <row r="14" spans="2:14" ht="15.75" customHeight="1" x14ac:dyDescent="0.2">
      <c r="B14" s="22"/>
      <c r="C14" s="22"/>
      <c r="D14" s="22" t="str">
        <f>SEC_Comm!C16</f>
        <v>OGL</v>
      </c>
      <c r="E14" s="22" t="str">
        <f>SEC_Comm!$C$8</f>
        <v>DEM_FIN_IND</v>
      </c>
      <c r="F14" s="77">
        <f>[3]Foglio2!$D$8</f>
        <v>8.335598428380267E-2</v>
      </c>
      <c r="G14" s="77" cm="1">
        <f t="array" ref="G14:L14">[3]Foglio2!$R$36:$W$36</f>
        <v>0.12031877230361429</v>
      </c>
      <c r="H14" s="77">
        <v>0.20378366053644034</v>
      </c>
      <c r="I14" s="77">
        <v>0.27626728559921226</v>
      </c>
      <c r="J14" s="77">
        <v>0.33563708586000873</v>
      </c>
      <c r="K14" s="77">
        <v>0.35349811279239524</v>
      </c>
      <c r="L14" s="77">
        <v>0.36253525805074932</v>
      </c>
      <c r="M14" s="44">
        <v>1</v>
      </c>
      <c r="N14" s="44">
        <v>1</v>
      </c>
    </row>
    <row r="15" spans="2:14" ht="15.75" customHeight="1" x14ac:dyDescent="0.2">
      <c r="B15" s="22"/>
      <c r="C15" s="22"/>
      <c r="D15" s="22" t="str">
        <f>SEC_Comm!C18</f>
        <v>FUEL_OIL</v>
      </c>
      <c r="E15" s="22" t="str">
        <f>SEC_Comm!$C$8</f>
        <v>DEM_FIN_IND</v>
      </c>
      <c r="F15" s="77">
        <f>[3]Foglio2!$E$8</f>
        <v>9.9280949183083528E-2</v>
      </c>
      <c r="G15" s="77" cm="1">
        <f t="array" ref="G15:L15">[3]Foglio2!$R$37:$W$37</f>
        <v>8.3477571953810392E-2</v>
      </c>
      <c r="H15" s="77">
        <v>4.7012904857141664E-2</v>
      </c>
      <c r="I15" s="77">
        <v>1.5345801314140628E-2</v>
      </c>
      <c r="J15" s="77">
        <v>0</v>
      </c>
      <c r="K15" s="77">
        <v>0</v>
      </c>
      <c r="L15" s="77">
        <v>0</v>
      </c>
      <c r="M15" s="44">
        <v>1</v>
      </c>
      <c r="N15" s="44">
        <v>1</v>
      </c>
    </row>
    <row r="16" spans="2:14" ht="15.75" customHeight="1" x14ac:dyDescent="0.2">
      <c r="B16" s="22"/>
      <c r="C16" s="22"/>
      <c r="D16" s="22" t="str">
        <f>SEC_Comm!C19</f>
        <v>SOLID</v>
      </c>
      <c r="E16" s="22" t="str">
        <f>SEC_Comm!$C$8</f>
        <v>DEM_FIN_IND</v>
      </c>
      <c r="F16" s="77">
        <f>[3]Foglio2!$F$8</f>
        <v>0.24550259166145444</v>
      </c>
      <c r="G16" s="77" cm="1">
        <f t="array" ref="G16:L16">[3]Foglio2!$R$38:$W$38</f>
        <v>0.27248494159700348</v>
      </c>
      <c r="H16" s="77">
        <v>0.34289050105034424</v>
      </c>
      <c r="I16" s="77">
        <v>0.40403298002324095</v>
      </c>
      <c r="J16" s="77">
        <v>0.45201713969007062</v>
      </c>
      <c r="K16" s="77">
        <v>0.45084637493554186</v>
      </c>
      <c r="L16" s="77">
        <v>0.44482525280079949</v>
      </c>
      <c r="M16" s="44">
        <v>1</v>
      </c>
      <c r="N16" s="44">
        <v>1</v>
      </c>
    </row>
    <row r="17" spans="2:16" ht="15.75" customHeight="1" x14ac:dyDescent="0.2">
      <c r="B17" s="22" t="str">
        <f>SEC_Processes!$D$9</f>
        <v>ELE_DMD_SER</v>
      </c>
      <c r="C17" s="22" t="str">
        <f>SEC_Processes!$E$9</f>
        <v>Electricity - Final Energy Demand Service</v>
      </c>
      <c r="D17" s="22" t="str">
        <f>SEC_Comm!C14</f>
        <v>ELEC_LV_DIST</v>
      </c>
      <c r="E17" s="22" t="str">
        <f>SEC_Comm!$C$9</f>
        <v>DEM_FIN_SER</v>
      </c>
      <c r="F17" s="77">
        <f>[4]Foglio2!$F$9</f>
        <v>0.76479482548616073</v>
      </c>
      <c r="G17" s="77" cm="1">
        <f t="array" ref="G17:L17">[4]Foglio2!$P$36:$U$36</f>
        <v>0.73608791571307497</v>
      </c>
      <c r="H17" s="77">
        <v>0.67635750853490562</v>
      </c>
      <c r="I17" s="77">
        <v>0.62572747206063717</v>
      </c>
      <c r="J17" s="77">
        <v>0.58226526155890845</v>
      </c>
      <c r="K17" s="77">
        <v>0.5445493500145242</v>
      </c>
      <c r="L17" s="77">
        <v>0.51151079294141666</v>
      </c>
      <c r="M17" s="44">
        <v>1</v>
      </c>
      <c r="N17" s="44">
        <v>1</v>
      </c>
    </row>
    <row r="18" spans="2:16" ht="15.75" customHeight="1" x14ac:dyDescent="0.2">
      <c r="B18" s="22"/>
      <c r="C18" s="22"/>
      <c r="D18" s="22" t="s">
        <v>172</v>
      </c>
      <c r="E18" s="22" t="str">
        <f>SEC_Comm!$C$9</f>
        <v>DEM_FIN_SER</v>
      </c>
      <c r="F18" s="77">
        <f>[4]Foglio2!$C$9</f>
        <v>9.2402032844722579E-2</v>
      </c>
      <c r="G18" s="77" cm="1">
        <f t="array" ref="G18:L18">[4]Foglio2!$P$33:$U$33</f>
        <v>0.10309065792457844</v>
      </c>
      <c r="H18" s="77">
        <v>0.12514952457733006</v>
      </c>
      <c r="I18" s="77">
        <v>0.14384755922956885</v>
      </c>
      <c r="J18" s="77">
        <v>0.15989846447505729</v>
      </c>
      <c r="K18" s="77">
        <v>0.17382722040941567</v>
      </c>
      <c r="L18" s="77">
        <v>0.18602859587804288</v>
      </c>
      <c r="M18" s="44">
        <v>1</v>
      </c>
      <c r="N18" s="44">
        <v>1</v>
      </c>
    </row>
    <row r="19" spans="2:16" ht="15.75" customHeight="1" x14ac:dyDescent="0.2">
      <c r="B19" s="22"/>
      <c r="C19" s="22"/>
      <c r="D19" s="22" t="str">
        <f>SEC_Comm!C16</f>
        <v>OGL</v>
      </c>
      <c r="E19" s="22" t="str">
        <f>SEC_Comm!$C$9</f>
        <v>DEM_FIN_SER</v>
      </c>
      <c r="F19" s="77">
        <f>[4]Foglio2!$D$9</f>
        <v>0.14280314166911673</v>
      </c>
      <c r="G19" s="77" cm="1">
        <f t="array" ref="G19:L19">[4]Foglio2!$P$34:$U$34</f>
        <v>0.16082142636233862</v>
      </c>
      <c r="H19" s="77">
        <v>0.19849296688776255</v>
      </c>
      <c r="I19" s="77">
        <v>0.2304249687097927</v>
      </c>
      <c r="J19" s="77">
        <v>0.25783627396602743</v>
      </c>
      <c r="K19" s="77">
        <v>0.28162342957605818</v>
      </c>
      <c r="L19" s="77">
        <v>0.30246061118053386</v>
      </c>
      <c r="M19" s="44">
        <v>1</v>
      </c>
      <c r="N19" s="44">
        <v>1</v>
      </c>
    </row>
    <row r="20" spans="2:16" ht="15.75" customHeight="1" x14ac:dyDescent="0.2">
      <c r="B20" s="22"/>
      <c r="C20" s="22"/>
      <c r="D20" s="22" t="str">
        <f>SEC_Comm!C17</f>
        <v>NLG</v>
      </c>
      <c r="E20" s="22" t="str">
        <f>SEC_Comm!$C$9</f>
        <v>DEM_FIN_SER</v>
      </c>
      <c r="F20" s="77">
        <f>[4]Foglio2!$E$9</f>
        <v>0</v>
      </c>
      <c r="G20" s="77" cm="1">
        <f t="array" ref="G20:L20">[4]Foglio2!$P$35:$U$35</f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44">
        <v>1</v>
      </c>
      <c r="N20" s="44">
        <v>1</v>
      </c>
    </row>
    <row r="21" spans="2:16" ht="15.75" customHeight="1" x14ac:dyDescent="0.2">
      <c r="B21" s="22" t="str">
        <f>SEC_Processes!$D$10</f>
        <v>ELE_DMD_AGR</v>
      </c>
      <c r="C21" s="22" t="str">
        <f>SEC_Processes!$E$10</f>
        <v>Electricity - Final Energy Demand Agriculture</v>
      </c>
      <c r="D21" s="22" t="s">
        <v>172</v>
      </c>
      <c r="E21" s="22" t="str">
        <f>SEC_Comm!$C$10</f>
        <v>DEM_FIN_AGR</v>
      </c>
      <c r="F21" s="77">
        <f>[5]Foglio2!$C$9</f>
        <v>0.20350306815302449</v>
      </c>
      <c r="G21" s="77" cm="1">
        <f t="array" ref="G21:L24">'[5]with Hydrogen'!$K$52:$P$55</f>
        <v>0.94477682758652748</v>
      </c>
      <c r="H21" s="77">
        <v>0.84033369231586907</v>
      </c>
      <c r="I21" s="77">
        <v>0.77026768885678953</v>
      </c>
      <c r="J21" s="77">
        <v>0.67842141756886476</v>
      </c>
      <c r="K21" s="77">
        <v>0.48718349286534485</v>
      </c>
      <c r="L21" s="77">
        <v>0.29360996787454147</v>
      </c>
      <c r="M21" s="44">
        <v>1</v>
      </c>
      <c r="N21" s="44">
        <v>1</v>
      </c>
    </row>
    <row r="22" spans="2:16" ht="15.75" customHeight="1" x14ac:dyDescent="0.2">
      <c r="B22" s="22"/>
      <c r="C22" s="22"/>
      <c r="D22" s="22" t="s">
        <v>178</v>
      </c>
      <c r="E22" s="22" t="str">
        <f>SEC_Comm!$C$10</f>
        <v>DEM_FIN_AGR</v>
      </c>
      <c r="F22" s="77">
        <f>[5]Foglio2!$B$9</f>
        <v>0.79649693184697545</v>
      </c>
      <c r="G22" s="77">
        <v>5.5223172413472535E-2</v>
      </c>
      <c r="H22" s="77">
        <v>4.5075349641057902E-2</v>
      </c>
      <c r="I22" s="77">
        <v>3.7165388929013006E-2</v>
      </c>
      <c r="J22" s="77">
        <v>3.0826546330193078E-2</v>
      </c>
      <c r="K22" s="77">
        <v>2.5633014269310379E-2</v>
      </c>
      <c r="L22" s="77">
        <v>2.1300107084862012E-2</v>
      </c>
      <c r="M22" s="44">
        <v>1</v>
      </c>
      <c r="N22" s="44">
        <v>1</v>
      </c>
    </row>
    <row r="23" spans="2:16" ht="15.75" customHeight="1" x14ac:dyDescent="0.2">
      <c r="B23" s="22"/>
      <c r="C23" s="22"/>
      <c r="D23" s="22" t="s">
        <v>174</v>
      </c>
      <c r="E23" s="22" t="str">
        <f>SEC_Comm!$C$10</f>
        <v>DEM_FIN_AGR</v>
      </c>
      <c r="F23" s="77">
        <v>0</v>
      </c>
      <c r="G23" s="77">
        <v>0</v>
      </c>
      <c r="H23" s="77">
        <v>5.7295479021536519E-2</v>
      </c>
      <c r="I23" s="77">
        <v>9.6283461107098692E-2</v>
      </c>
      <c r="J23" s="77">
        <v>0.14537601805047104</v>
      </c>
      <c r="K23" s="77">
        <v>0.24359174643267242</v>
      </c>
      <c r="L23" s="77">
        <v>0.34254496252029826</v>
      </c>
      <c r="M23" s="44">
        <v>1</v>
      </c>
      <c r="N23" s="44">
        <v>1</v>
      </c>
    </row>
    <row r="24" spans="2:16" ht="15.75" customHeight="1" x14ac:dyDescent="0.2">
      <c r="B24" s="22"/>
      <c r="C24" s="22"/>
      <c r="D24" s="88" t="s">
        <v>184</v>
      </c>
      <c r="E24" s="22" t="str">
        <f>SEC_Comm!$C$10</f>
        <v>DEM_FIN_AGR</v>
      </c>
      <c r="F24" s="77">
        <v>0</v>
      </c>
      <c r="G24" s="77">
        <v>0</v>
      </c>
      <c r="H24" s="77">
        <v>5.7295479021536519E-2</v>
      </c>
      <c r="I24" s="77">
        <v>9.6283461107098692E-2</v>
      </c>
      <c r="J24" s="77">
        <v>0.14537601805047104</v>
      </c>
      <c r="K24" s="77">
        <v>0.24359174643267242</v>
      </c>
      <c r="L24" s="77">
        <v>0.34254496252029826</v>
      </c>
      <c r="M24" s="44">
        <v>1</v>
      </c>
      <c r="N24" s="44">
        <v>1</v>
      </c>
      <c r="P24" s="85"/>
    </row>
    <row r="25" spans="2:16" ht="15.75" customHeight="1" x14ac:dyDescent="0.2">
      <c r="B25" s="22" t="str">
        <f>SEC_Processes!$D$11</f>
        <v>ELE_DMD_TRS</v>
      </c>
      <c r="C25" s="22" t="str">
        <f>SEC_Processes!$E$11</f>
        <v>Electricity - Final Energy Demand Transport</v>
      </c>
      <c r="D25" s="22" t="str">
        <f>SEC_Comm!C20</f>
        <v>GASOLINE</v>
      </c>
      <c r="E25" s="22" t="str">
        <f>SEC_Comm!$C$11</f>
        <v>DEM_FIN_TRS</v>
      </c>
      <c r="F25" s="81">
        <f>[6]Foglio3!$C$10</f>
        <v>0.41736419743223646</v>
      </c>
      <c r="G25" s="81" cm="1">
        <f t="array" ref="G25:L30">[6]Foglio3!$N$60:$S$65</f>
        <v>0.39517638159154711</v>
      </c>
      <c r="H25" s="81">
        <v>0.46466386784780284</v>
      </c>
      <c r="I25" s="81">
        <v>0.52625630328493189</v>
      </c>
      <c r="J25" s="81">
        <v>0.58122689177441011</v>
      </c>
      <c r="K25" s="81">
        <v>0.63058903673018718</v>
      </c>
      <c r="L25" s="81">
        <v>0.67515939091316235</v>
      </c>
      <c r="M25" s="44">
        <v>1</v>
      </c>
      <c r="N25" s="44">
        <v>1</v>
      </c>
    </row>
    <row r="26" spans="2:16" ht="15.75" customHeight="1" x14ac:dyDescent="0.2">
      <c r="B26" s="22"/>
      <c r="C26" s="22"/>
      <c r="D26" s="69" t="s">
        <v>172</v>
      </c>
      <c r="E26" s="22" t="str">
        <f>SEC_Comm!$C$11</f>
        <v>DEM_FIN_TRS</v>
      </c>
      <c r="F26" s="82">
        <f>[6]Foglio3!$D$10</f>
        <v>0.54999870673944939</v>
      </c>
      <c r="G26" s="81">
        <v>0.60346567395744488</v>
      </c>
      <c r="H26" s="81">
        <v>0.46953912482859261</v>
      </c>
      <c r="I26" s="81">
        <v>0.37728835891432055</v>
      </c>
      <c r="J26" s="81">
        <v>0.29142030640064059</v>
      </c>
      <c r="K26" s="81">
        <v>0.18333030711679396</v>
      </c>
      <c r="L26" s="81">
        <v>9.654799140173155E-2</v>
      </c>
      <c r="M26" s="44">
        <v>1</v>
      </c>
      <c r="N26" s="44">
        <v>1</v>
      </c>
    </row>
    <row r="27" spans="2:16" ht="15.75" customHeight="1" x14ac:dyDescent="0.2">
      <c r="B27" s="22"/>
      <c r="C27" s="22"/>
      <c r="D27" s="22" t="s">
        <v>173</v>
      </c>
      <c r="E27" s="22" t="str">
        <f>SEC_Comm!$C$11</f>
        <v>DEM_FIN_TRS</v>
      </c>
      <c r="F27" s="81">
        <f>[6]Foglio3!$E$10</f>
        <v>1.9202948834671933E-2</v>
      </c>
      <c r="G27" s="81">
        <v>7.8928104873112305E-4</v>
      </c>
      <c r="H27" s="81">
        <v>8.5420144431191914E-4</v>
      </c>
      <c r="I27" s="81">
        <v>9.1174569420199314E-4</v>
      </c>
      <c r="J27" s="81">
        <v>9.6310332047854809E-4</v>
      </c>
      <c r="K27" s="81">
        <v>1.0092211202422144E-3</v>
      </c>
      <c r="L27" s="81">
        <v>1.0508620714498053E-3</v>
      </c>
      <c r="M27" s="44">
        <v>1</v>
      </c>
      <c r="N27" s="44">
        <v>1</v>
      </c>
    </row>
    <row r="28" spans="2:16" ht="15.75" customHeight="1" x14ac:dyDescent="0.2">
      <c r="B28" s="22"/>
      <c r="C28" s="22"/>
      <c r="D28" s="22" t="s">
        <v>178</v>
      </c>
      <c r="E28" s="22" t="str">
        <f>SEC_Comm!$C$11</f>
        <v>DEM_FIN_TRS</v>
      </c>
      <c r="F28" s="81">
        <f>[6]Foglio3!$F$10</f>
        <v>1.3434146993642102E-2</v>
      </c>
      <c r="G28" s="81">
        <v>5.6866340227682325E-4</v>
      </c>
      <c r="H28" s="81">
        <v>9.1474340266635228E-4</v>
      </c>
      <c r="I28" s="81">
        <v>1.2215023779653712E-3</v>
      </c>
      <c r="J28" s="81">
        <v>1.4952814756247076E-3</v>
      </c>
      <c r="K28" s="81">
        <v>1.74112791598269E-3</v>
      </c>
      <c r="L28" s="81">
        <v>1.9631090096161735E-3</v>
      </c>
      <c r="M28" s="44">
        <v>1</v>
      </c>
      <c r="N28" s="44">
        <v>1</v>
      </c>
      <c r="P28" s="85"/>
    </row>
    <row r="29" spans="2:16" ht="15.75" customHeight="1" x14ac:dyDescent="0.2">
      <c r="B29" s="22"/>
      <c r="C29" s="22"/>
      <c r="D29" s="22" t="s">
        <v>174</v>
      </c>
      <c r="E29" s="22" t="str">
        <f>SEC_Comm!$C$11</f>
        <v>DEM_FIN_TRS</v>
      </c>
      <c r="F29" s="81">
        <v>0</v>
      </c>
      <c r="G29" s="81">
        <v>0</v>
      </c>
      <c r="H29" s="81">
        <v>3.2014031238313131E-2</v>
      </c>
      <c r="I29" s="81">
        <v>4.7161044864290069E-2</v>
      </c>
      <c r="J29" s="81">
        <v>6.2447208514422974E-2</v>
      </c>
      <c r="K29" s="81">
        <v>9.1665153558396981E-2</v>
      </c>
      <c r="L29" s="81">
        <v>0.11263932330202009</v>
      </c>
      <c r="M29" s="44">
        <v>1</v>
      </c>
      <c r="N29" s="44">
        <v>1</v>
      </c>
    </row>
    <row r="30" spans="2:16" ht="15.75" customHeight="1" x14ac:dyDescent="0.2">
      <c r="B30" s="22"/>
      <c r="C30" s="22"/>
      <c r="D30" s="88" t="s">
        <v>184</v>
      </c>
      <c r="E30" s="22" t="str">
        <f>SEC_Comm!$C$11</f>
        <v>DEM_FIN_TRS</v>
      </c>
      <c r="F30" s="77">
        <v>0</v>
      </c>
      <c r="G30" s="77">
        <v>0</v>
      </c>
      <c r="H30" s="77">
        <v>3.2014031238313131E-2</v>
      </c>
      <c r="I30" s="77">
        <v>4.7161044864290069E-2</v>
      </c>
      <c r="J30" s="77">
        <v>6.2447208514422974E-2</v>
      </c>
      <c r="K30" s="77">
        <v>9.1665153558396981E-2</v>
      </c>
      <c r="L30" s="77">
        <v>0.11263932330202009</v>
      </c>
      <c r="M30" s="44">
        <v>1</v>
      </c>
      <c r="N30" s="44">
        <v>1</v>
      </c>
    </row>
    <row r="31" spans="2:16" x14ac:dyDescent="0.2">
      <c r="F31" s="82"/>
      <c r="G31" s="82"/>
      <c r="H31" s="82"/>
      <c r="I31" s="82"/>
      <c r="J31" s="82"/>
      <c r="K31" s="82"/>
      <c r="L31" s="82"/>
    </row>
    <row r="33" spans="4:14" x14ac:dyDescent="0.2">
      <c r="M33" t="s">
        <v>146</v>
      </c>
    </row>
    <row r="35" spans="4:14" x14ac:dyDescent="0.2">
      <c r="F35" s="85">
        <f t="shared" ref="F35:L35" si="0">SUM(F21:F24)</f>
        <v>1</v>
      </c>
      <c r="G35" s="85">
        <f t="shared" si="0"/>
        <v>1</v>
      </c>
      <c r="H35" s="85">
        <f t="shared" si="0"/>
        <v>1</v>
      </c>
      <c r="I35" s="85">
        <f t="shared" si="0"/>
        <v>1</v>
      </c>
      <c r="J35" s="85">
        <f t="shared" si="0"/>
        <v>1</v>
      </c>
      <c r="K35" s="85">
        <f>SUM(K21:K24)</f>
        <v>1</v>
      </c>
      <c r="L35" s="85">
        <f t="shared" si="0"/>
        <v>1</v>
      </c>
      <c r="M35" s="85"/>
      <c r="N35" s="85"/>
    </row>
    <row r="38" spans="4:14" x14ac:dyDescent="0.2">
      <c r="D38" s="26"/>
    </row>
    <row r="39" spans="4:14" x14ac:dyDescent="0.2">
      <c r="F39" s="85"/>
      <c r="G39" s="85"/>
      <c r="H39" s="85"/>
      <c r="I39" s="85"/>
      <c r="J39" s="85"/>
      <c r="K39" s="85"/>
      <c r="L39" s="85"/>
    </row>
    <row r="40" spans="4:14" x14ac:dyDescent="0.2">
      <c r="F40" s="82"/>
      <c r="G40" s="82"/>
      <c r="H40" s="82"/>
      <c r="I40" s="82"/>
      <c r="J40" s="82"/>
      <c r="K40" s="82"/>
      <c r="L40" s="8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6"/>
  <sheetViews>
    <sheetView tabSelected="1" zoomScale="91" zoomScaleNormal="100" workbookViewId="0">
      <selection activeCell="J19" sqref="J19:J20"/>
    </sheetView>
  </sheetViews>
  <sheetFormatPr defaultRowHeight="12.75" x14ac:dyDescent="0.2"/>
  <cols>
    <col min="1" max="1" width="3" customWidth="1"/>
    <col min="2" max="2" width="19.85546875" customWidth="1"/>
    <col min="3" max="3" width="14.140625" customWidth="1"/>
    <col min="4" max="4" width="11.85546875" customWidth="1"/>
    <col min="5" max="5" width="8.5703125" customWidth="1"/>
    <col min="6" max="6" width="11" bestFit="1" customWidth="1"/>
    <col min="7" max="7" width="12.42578125" customWidth="1"/>
    <col min="8" max="8" width="9" customWidth="1"/>
    <col min="14" max="14" width="14.5703125" customWidth="1"/>
    <col min="15" max="15" width="15" customWidth="1"/>
    <col min="17" max="17" width="9.5703125" customWidth="1"/>
  </cols>
  <sheetData>
    <row r="2" spans="2:12" ht="18" x14ac:dyDescent="0.25">
      <c r="B2" s="45" t="s">
        <v>147</v>
      </c>
      <c r="C2" s="18"/>
    </row>
    <row r="4" spans="2:12" x14ac:dyDescent="0.2">
      <c r="B4" s="16" t="s">
        <v>148</v>
      </c>
      <c r="C4" s="17"/>
    </row>
    <row r="5" spans="2:12" x14ac:dyDescent="0.2">
      <c r="B5" s="27" t="s">
        <v>51</v>
      </c>
      <c r="C5" s="52">
        <v>2023</v>
      </c>
      <c r="D5" s="52">
        <v>2025</v>
      </c>
      <c r="E5" s="52">
        <v>2030</v>
      </c>
      <c r="F5" s="52">
        <v>2035</v>
      </c>
      <c r="G5" s="52">
        <v>2040</v>
      </c>
      <c r="H5" s="52">
        <v>2045</v>
      </c>
      <c r="I5" s="52">
        <v>2050</v>
      </c>
    </row>
    <row r="6" spans="2:12" ht="36.75" customHeight="1" x14ac:dyDescent="0.2">
      <c r="B6" s="9" t="s">
        <v>149</v>
      </c>
      <c r="C6" s="97" t="s">
        <v>150</v>
      </c>
      <c r="D6" s="97"/>
      <c r="E6" s="97"/>
      <c r="F6" s="97"/>
      <c r="G6" s="97"/>
      <c r="H6" s="97"/>
      <c r="I6" s="97"/>
    </row>
    <row r="7" spans="2:12" ht="15.75" customHeight="1" x14ac:dyDescent="0.2">
      <c r="B7" s="24" t="str">
        <f>SEC_Comm!C7</f>
        <v>DEM_FIN_RES</v>
      </c>
      <c r="C7" s="50">
        <f>'[2]CORRECT SITUATION'!$G$14</f>
        <v>14.385823239436622</v>
      </c>
      <c r="D7" s="98">
        <v>13.74024137323959</v>
      </c>
      <c r="E7" s="98">
        <v>13.488017659804999</v>
      </c>
      <c r="F7" s="98">
        <v>13.61199394637055</v>
      </c>
      <c r="G7" s="98">
        <v>14.605410232936091</v>
      </c>
      <c r="H7" s="98">
        <v>16.12968651950165</v>
      </c>
      <c r="I7" s="98">
        <v>17.653962806067209</v>
      </c>
      <c r="K7" s="56"/>
      <c r="L7" s="85"/>
    </row>
    <row r="8" spans="2:12" ht="15.75" customHeight="1" x14ac:dyDescent="0.2">
      <c r="B8" s="24" t="str">
        <f>SEC_Comm!C8</f>
        <v>DEM_FIN_IND</v>
      </c>
      <c r="C8" s="50">
        <f>[3]Foglio2!$H$12</f>
        <v>23.436112172000001</v>
      </c>
      <c r="D8" s="98">
        <v>24.547543659999999</v>
      </c>
      <c r="E8" s="98">
        <v>26.40701907</v>
      </c>
      <c r="F8" s="98">
        <v>28.266494479999999</v>
      </c>
      <c r="G8" s="98">
        <v>30.499896549999999</v>
      </c>
      <c r="H8" s="98">
        <v>35.826740319999999</v>
      </c>
      <c r="I8" s="98">
        <v>41.630361319999999</v>
      </c>
      <c r="K8" s="56"/>
      <c r="L8" s="85"/>
    </row>
    <row r="9" spans="2:12" ht="15.75" customHeight="1" x14ac:dyDescent="0.2">
      <c r="B9" s="24" t="str">
        <f>SEC_Comm!C9</f>
        <v>DEM_FIN_SER</v>
      </c>
      <c r="C9" s="50">
        <f>[4]Foglio2!$G$11</f>
        <v>9.9521619999999995</v>
      </c>
      <c r="D9" s="98">
        <v>10.136708999999961</v>
      </c>
      <c r="E9" s="98">
        <v>11.047707846153839</v>
      </c>
      <c r="F9" s="98">
        <v>11.95870669230767</v>
      </c>
      <c r="G9" s="98">
        <v>12.86970553846149</v>
      </c>
      <c r="H9" s="98">
        <v>13.780704384615371</v>
      </c>
      <c r="I9" s="98">
        <v>14.691703230769191</v>
      </c>
      <c r="K9" s="56"/>
      <c r="L9" s="85"/>
    </row>
    <row r="10" spans="2:12" ht="15.75" customHeight="1" x14ac:dyDescent="0.2">
      <c r="B10" s="24" t="str">
        <f>SEC_Comm!C10</f>
        <v>DEM_FIN_AGR</v>
      </c>
      <c r="C10" s="50">
        <f>[5]Foglio2!$D$11</f>
        <v>4.0977760559999998</v>
      </c>
      <c r="D10" s="98">
        <v>4.3241330879999866</v>
      </c>
      <c r="E10" s="98">
        <v>5.1406846529789556</v>
      </c>
      <c r="F10" s="98">
        <v>5.863157731715841</v>
      </c>
      <c r="G10" s="98">
        <v>6.6527824147297716</v>
      </c>
      <c r="H10" s="98">
        <v>7.7475745422621323</v>
      </c>
      <c r="I10" s="98">
        <v>8.8593188176897044</v>
      </c>
      <c r="K10" s="56"/>
      <c r="L10" s="85"/>
    </row>
    <row r="11" spans="2:12" ht="15.75" customHeight="1" x14ac:dyDescent="0.2">
      <c r="B11" s="24" t="str">
        <f>SEC_Comm!C11</f>
        <v>DEM_FIN_TRS</v>
      </c>
      <c r="C11" s="50">
        <f>[6]Foglio3!$G$12</f>
        <v>34.547267414993634</v>
      </c>
      <c r="D11" s="98">
        <v>35.452017919999847</v>
      </c>
      <c r="E11" s="98">
        <v>39.960190162610353</v>
      </c>
      <c r="F11" s="98">
        <v>43.890174909795029</v>
      </c>
      <c r="G11" s="98">
        <v>47.806498858510871</v>
      </c>
      <c r="H11" s="98">
        <v>52.121889890618277</v>
      </c>
      <c r="I11" s="98">
        <v>56.170613368234207</v>
      </c>
      <c r="K11" s="56"/>
    </row>
    <row r="12" spans="2:12" ht="15.75" customHeight="1" x14ac:dyDescent="0.2">
      <c r="B12" s="24"/>
      <c r="C12" s="50"/>
      <c r="D12" s="50"/>
      <c r="E12" s="50"/>
      <c r="F12" s="50"/>
      <c r="G12" s="50"/>
      <c r="H12" s="50"/>
      <c r="I12" s="50"/>
      <c r="K12" s="56"/>
    </row>
    <row r="13" spans="2:12" ht="15.75" customHeight="1" x14ac:dyDescent="0.2">
      <c r="B13" s="24"/>
      <c r="C13" s="50"/>
      <c r="D13" s="51"/>
      <c r="E13" s="51"/>
      <c r="F13" s="51"/>
      <c r="G13" s="51"/>
      <c r="H13" s="51"/>
      <c r="I13" s="51"/>
      <c r="K13" s="56"/>
    </row>
    <row r="14" spans="2:12" ht="15.75" customHeight="1" x14ac:dyDescent="0.2">
      <c r="B14" s="24"/>
      <c r="C14" s="50"/>
      <c r="D14" s="51"/>
      <c r="E14" s="51"/>
      <c r="F14" s="51"/>
      <c r="G14" s="51"/>
      <c r="H14" s="51"/>
      <c r="I14" s="51"/>
      <c r="K14" s="56"/>
    </row>
    <row r="15" spans="2:12" ht="15.75" customHeight="1" x14ac:dyDescent="0.2">
      <c r="B15" s="24"/>
      <c r="C15" s="50"/>
      <c r="D15" s="51"/>
      <c r="E15" s="51"/>
      <c r="F15" s="51"/>
      <c r="G15" s="51"/>
      <c r="H15" s="51"/>
      <c r="I15" s="51"/>
      <c r="K15" s="56"/>
    </row>
    <row r="16" spans="2:12" ht="15.75" customHeight="1" x14ac:dyDescent="0.2">
      <c r="B16" s="24"/>
      <c r="C16" s="50"/>
      <c r="D16" s="51"/>
      <c r="E16" s="51"/>
      <c r="F16" s="51"/>
      <c r="G16" s="51"/>
      <c r="H16" s="51"/>
      <c r="I16" s="51"/>
      <c r="K16" s="56"/>
    </row>
    <row r="17" spans="2:11" ht="15.75" customHeight="1" x14ac:dyDescent="0.2">
      <c r="K17" s="10"/>
    </row>
    <row r="18" spans="2:11" ht="15.75" customHeight="1" x14ac:dyDescent="0.2"/>
    <row r="19" spans="2:11" x14ac:dyDescent="0.2">
      <c r="B19" s="96" t="s">
        <v>151</v>
      </c>
      <c r="C19" s="96"/>
    </row>
    <row r="20" spans="2:11" x14ac:dyDescent="0.2">
      <c r="C20" s="78">
        <v>0.09</v>
      </c>
      <c r="D20" s="79" t="s">
        <v>164</v>
      </c>
    </row>
    <row r="21" spans="2:11" x14ac:dyDescent="0.2">
      <c r="C21" s="49"/>
    </row>
    <row r="24" spans="2:11" x14ac:dyDescent="0.2">
      <c r="J24" s="10"/>
    </row>
    <row r="26" spans="2:11" ht="13.7" customHeight="1" x14ac:dyDescent="0.2"/>
  </sheetData>
  <mergeCells count="2">
    <mergeCell ref="B19:C19"/>
    <mergeCell ref="C6:I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1702-ED26-45E6-B61B-BC215E5227A4}">
  <sheetPr>
    <tabColor rgb="FFFF0000"/>
  </sheetPr>
  <dimension ref="B3:I10"/>
  <sheetViews>
    <sheetView workbookViewId="0">
      <selection activeCell="D25" sqref="D25"/>
    </sheetView>
  </sheetViews>
  <sheetFormatPr defaultRowHeight="12.75" x14ac:dyDescent="0.2"/>
  <cols>
    <col min="2" max="2" width="17.5703125" bestFit="1" customWidth="1"/>
    <col min="3" max="3" width="26.5703125" customWidth="1"/>
    <col min="4" max="4" width="12" customWidth="1"/>
    <col min="7" max="8" width="12" customWidth="1"/>
  </cols>
  <sheetData>
    <row r="3" spans="2:9" x14ac:dyDescent="0.2">
      <c r="C3" s="15" t="s">
        <v>180</v>
      </c>
    </row>
    <row r="4" spans="2:9" ht="18.75" customHeight="1" x14ac:dyDescent="0.2">
      <c r="B4" s="87" t="s">
        <v>86</v>
      </c>
      <c r="C4" s="87" t="s">
        <v>51</v>
      </c>
      <c r="D4" s="87" t="s">
        <v>172</v>
      </c>
      <c r="E4" s="87" t="s">
        <v>173</v>
      </c>
      <c r="F4" s="87" t="s">
        <v>174</v>
      </c>
      <c r="G4" s="87" t="s">
        <v>176</v>
      </c>
      <c r="H4" s="87" t="s">
        <v>179</v>
      </c>
      <c r="I4" s="87" t="s">
        <v>175</v>
      </c>
    </row>
    <row r="5" spans="2:9" ht="34.5" customHeight="1" x14ac:dyDescent="0.2">
      <c r="B5" s="86" t="s">
        <v>142</v>
      </c>
      <c r="C5" s="86" t="s">
        <v>181</v>
      </c>
      <c r="D5" s="86" t="s">
        <v>182</v>
      </c>
      <c r="E5" s="86"/>
      <c r="F5" s="86"/>
      <c r="G5" s="86"/>
      <c r="H5" s="86"/>
      <c r="I5" s="86"/>
    </row>
    <row r="6" spans="2:9" ht="18.95" customHeight="1" x14ac:dyDescent="0.2">
      <c r="B6" s="88" t="str">
        <f>SEC_Processes!D7</f>
        <v>ELE_DMD_RES</v>
      </c>
      <c r="C6" s="88" t="s">
        <v>183</v>
      </c>
      <c r="D6" s="88">
        <v>74.099999999999994</v>
      </c>
      <c r="E6" s="88">
        <v>63.1</v>
      </c>
      <c r="F6" s="88">
        <v>56.1</v>
      </c>
      <c r="G6" s="88">
        <v>69.3</v>
      </c>
      <c r="H6" s="88">
        <v>77.400000000000006</v>
      </c>
      <c r="I6" s="88">
        <v>95</v>
      </c>
    </row>
    <row r="7" spans="2:9" ht="18.95" customHeight="1" x14ac:dyDescent="0.2">
      <c r="B7" s="89" t="str">
        <f>SEC_Processes!D8</f>
        <v>ELE_DMD_IND</v>
      </c>
      <c r="C7" s="89" t="s">
        <v>183</v>
      </c>
      <c r="D7" s="89">
        <v>74.099999999999994</v>
      </c>
      <c r="E7" s="89">
        <v>63.1</v>
      </c>
      <c r="F7" s="89">
        <v>56.1</v>
      </c>
      <c r="G7" s="89">
        <v>69.3</v>
      </c>
      <c r="H7" s="89">
        <v>77.400000000000006</v>
      </c>
      <c r="I7" s="89">
        <v>95</v>
      </c>
    </row>
    <row r="8" spans="2:9" ht="18.95" customHeight="1" x14ac:dyDescent="0.2">
      <c r="B8" s="88" t="str">
        <f>SEC_Processes!D9</f>
        <v>ELE_DMD_SER</v>
      </c>
      <c r="C8" s="88" t="s">
        <v>183</v>
      </c>
      <c r="D8" s="88">
        <v>74.099999999999994</v>
      </c>
      <c r="E8" s="88">
        <v>63.1</v>
      </c>
      <c r="F8" s="88">
        <v>56.1</v>
      </c>
      <c r="G8" s="88">
        <v>69.3</v>
      </c>
      <c r="H8" s="88">
        <v>77.400000000000006</v>
      </c>
      <c r="I8" s="88">
        <v>95</v>
      </c>
    </row>
    <row r="9" spans="2:9" ht="18.95" customHeight="1" x14ac:dyDescent="0.2">
      <c r="B9" s="89" t="str">
        <f>SEC_Processes!D10</f>
        <v>ELE_DMD_AGR</v>
      </c>
      <c r="C9" s="89" t="s">
        <v>183</v>
      </c>
      <c r="D9" s="89">
        <v>74.099999999999994</v>
      </c>
      <c r="E9" s="89">
        <v>63.1</v>
      </c>
      <c r="F9" s="89">
        <v>56.1</v>
      </c>
      <c r="G9" s="89">
        <v>69.3</v>
      </c>
      <c r="H9" s="89">
        <v>77.400000000000006</v>
      </c>
      <c r="I9" s="89">
        <v>95</v>
      </c>
    </row>
    <row r="10" spans="2:9" ht="18.95" customHeight="1" x14ac:dyDescent="0.2">
      <c r="B10" s="90" t="str">
        <f>SEC_Processes!D11</f>
        <v>ELE_DMD_TRS</v>
      </c>
      <c r="C10" s="90" t="s">
        <v>183</v>
      </c>
      <c r="D10" s="90">
        <v>74.099999999999994</v>
      </c>
      <c r="E10" s="90">
        <v>63.1</v>
      </c>
      <c r="F10" s="90">
        <v>56.1</v>
      </c>
      <c r="G10" s="90">
        <v>69.3</v>
      </c>
      <c r="H10" s="90">
        <v>77.400000000000006</v>
      </c>
      <c r="I10" s="90">
        <v>95</v>
      </c>
    </row>
  </sheetData>
  <phoneticPr fontId="3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B65FFC9A-E208-4DEB-808A-099CF7A71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BALANCE</vt:lpstr>
      <vt:lpstr>SEC_Comm</vt:lpstr>
      <vt:lpstr>SEC_Processes</vt:lpstr>
      <vt:lpstr>FINAL_DEMAD_PRC</vt:lpstr>
      <vt:lpstr>DEMAND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2026-06-05T14:43:29Z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761301577091217</vt:r8>
  </property>
</Properties>
</file>