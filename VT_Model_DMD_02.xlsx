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bee2\Desktop\correzioni\"/>
    </mc:Choice>
  </mc:AlternateContent>
  <xr:revisionPtr revIDLastSave="0" documentId="13_ncr:1_{A9C14F32-0D93-45DF-8948-05349A5170B6}" xr6:coauthVersionLast="47" xr6:coauthVersionMax="47" xr10:uidLastSave="{00000000-0000-0000-0000-000000000000}"/>
  <bookViews>
    <workbookView xWindow="-105" yWindow="0" windowWidth="26010" windowHeight="20985" tabRatio="500" activeTab="6" xr2:uid="{00000000-000D-0000-FFFF-FFFF00000000}"/>
  </bookViews>
  <sheets>
    <sheet name="NOTE" sheetId="1" r:id="rId1"/>
    <sheet name="INPUT" sheetId="2" r:id="rId2"/>
    <sheet name="SEC_Comm" sheetId="3" r:id="rId3"/>
    <sheet name="SEC_Processes" sheetId="4" r:id="rId4"/>
    <sheet name="FINAL_DEMAND_PRC" sheetId="5" r:id="rId5"/>
    <sheet name="DEMAND" sheetId="6" r:id="rId6"/>
    <sheet name="EMI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7" l="1"/>
  <c r="H11" i="7"/>
  <c r="G11" i="7"/>
  <c r="F11" i="7"/>
  <c r="E11" i="7"/>
  <c r="D11" i="7"/>
  <c r="I10" i="7"/>
  <c r="H10" i="7"/>
  <c r="G10" i="7"/>
  <c r="F10" i="7"/>
  <c r="E10" i="7"/>
  <c r="D10" i="7"/>
  <c r="I9" i="7"/>
  <c r="H9" i="7"/>
  <c r="G9" i="7"/>
  <c r="F9" i="7"/>
  <c r="E9" i="7"/>
  <c r="D9" i="7"/>
  <c r="I8" i="7"/>
  <c r="H8" i="7"/>
  <c r="G8" i="7"/>
  <c r="F8" i="7"/>
  <c r="E8" i="7"/>
  <c r="D8" i="7"/>
  <c r="I7" i="7"/>
  <c r="H7" i="7"/>
  <c r="G7" i="7"/>
  <c r="F7" i="7"/>
  <c r="E7" i="7"/>
  <c r="D7" i="7"/>
  <c r="G23" i="6"/>
  <c r="E23" i="6"/>
  <c r="C23" i="6"/>
  <c r="E21" i="6"/>
  <c r="C21" i="6"/>
  <c r="H20" i="6"/>
  <c r="F20" i="6"/>
  <c r="D19" i="6"/>
  <c r="I16" i="6"/>
  <c r="H16" i="6"/>
  <c r="H23" i="6" s="1"/>
  <c r="G16" i="6"/>
  <c r="F16" i="6"/>
  <c r="F23" i="6" s="1"/>
  <c r="E16" i="6"/>
  <c r="D16" i="6"/>
  <c r="C16" i="6"/>
  <c r="I15" i="6"/>
  <c r="I23" i="6" s="1"/>
  <c r="H15" i="6"/>
  <c r="G15" i="6"/>
  <c r="F15" i="6"/>
  <c r="E15" i="6"/>
  <c r="D15" i="6"/>
  <c r="D23" i="6" s="1"/>
  <c r="C15" i="6"/>
  <c r="I14" i="6"/>
  <c r="H14" i="6"/>
  <c r="H22" i="6" s="1"/>
  <c r="G14" i="6"/>
  <c r="F14" i="6"/>
  <c r="F22" i="6" s="1"/>
  <c r="E14" i="6"/>
  <c r="D14" i="6"/>
  <c r="C14" i="6"/>
  <c r="I13" i="6"/>
  <c r="I22" i="6" s="1"/>
  <c r="H13" i="6"/>
  <c r="G13" i="6"/>
  <c r="G22" i="6" s="1"/>
  <c r="F13" i="6"/>
  <c r="E13" i="6"/>
  <c r="E22" i="6" s="1"/>
  <c r="D13" i="6"/>
  <c r="D22" i="6" s="1"/>
  <c r="C13" i="6"/>
  <c r="C22" i="6" s="1"/>
  <c r="I12" i="6"/>
  <c r="H12" i="6"/>
  <c r="G12" i="6"/>
  <c r="F12" i="6"/>
  <c r="F21" i="6" s="1"/>
  <c r="E12" i="6"/>
  <c r="D12" i="6"/>
  <c r="D21" i="6" s="1"/>
  <c r="C12" i="6"/>
  <c r="I11" i="6"/>
  <c r="I21" i="6" s="1"/>
  <c r="H11" i="6"/>
  <c r="H21" i="6" s="1"/>
  <c r="G11" i="6"/>
  <c r="G21" i="6" s="1"/>
  <c r="F11" i="6"/>
  <c r="E11" i="6"/>
  <c r="D11" i="6"/>
  <c r="C11" i="6"/>
  <c r="I10" i="6"/>
  <c r="H10" i="6"/>
  <c r="G10" i="6"/>
  <c r="F10" i="6"/>
  <c r="E10" i="6"/>
  <c r="D10" i="6"/>
  <c r="D20" i="6" s="1"/>
  <c r="C10" i="6"/>
  <c r="I9" i="6"/>
  <c r="I20" i="6" s="1"/>
  <c r="H9" i="6"/>
  <c r="G9" i="6"/>
  <c r="G20" i="6" s="1"/>
  <c r="F9" i="6"/>
  <c r="E9" i="6"/>
  <c r="E20" i="6" s="1"/>
  <c r="D9" i="6"/>
  <c r="C9" i="6"/>
  <c r="C20" i="6" s="1"/>
  <c r="I8" i="6"/>
  <c r="H8" i="6"/>
  <c r="G8" i="6"/>
  <c r="F8" i="6"/>
  <c r="E8" i="6"/>
  <c r="D8" i="6"/>
  <c r="C8" i="6"/>
  <c r="C19" i="6" s="1"/>
  <c r="I7" i="6"/>
  <c r="I19" i="6" s="1"/>
  <c r="H7" i="6"/>
  <c r="H19" i="6" s="1"/>
  <c r="G7" i="6"/>
  <c r="G19" i="6" s="1"/>
  <c r="F7" i="6"/>
  <c r="F19" i="6" s="1"/>
  <c r="E7" i="6"/>
  <c r="E19" i="6" s="1"/>
  <c r="D7" i="6"/>
  <c r="C7" i="6"/>
  <c r="L31" i="5"/>
  <c r="K31" i="5"/>
  <c r="J31" i="5"/>
  <c r="I31" i="5"/>
  <c r="H31" i="5"/>
  <c r="G31" i="5"/>
  <c r="F31" i="5"/>
  <c r="L30" i="5"/>
  <c r="K30" i="5"/>
  <c r="J30" i="5"/>
  <c r="I30" i="5"/>
  <c r="H30" i="5"/>
  <c r="G30" i="5"/>
  <c r="F30" i="5"/>
  <c r="L29" i="5"/>
  <c r="K29" i="5"/>
  <c r="J29" i="5"/>
  <c r="I29" i="5"/>
  <c r="H29" i="5"/>
  <c r="G29" i="5"/>
  <c r="F29" i="5"/>
  <c r="L28" i="5"/>
  <c r="K28" i="5"/>
  <c r="J28" i="5"/>
  <c r="I28" i="5"/>
  <c r="H28" i="5"/>
  <c r="G28" i="5"/>
  <c r="F28" i="5"/>
  <c r="L27" i="5"/>
  <c r="K27" i="5"/>
  <c r="J27" i="5"/>
  <c r="I27" i="5"/>
  <c r="H27" i="5"/>
  <c r="G27" i="5"/>
  <c r="F27" i="5"/>
  <c r="L25" i="5"/>
  <c r="K25" i="5"/>
  <c r="J25" i="5"/>
  <c r="I25" i="5"/>
  <c r="H25" i="5"/>
  <c r="G25" i="5"/>
  <c r="F25" i="5"/>
  <c r="L24" i="5"/>
  <c r="K24" i="5"/>
  <c r="J24" i="5"/>
  <c r="I24" i="5"/>
  <c r="H24" i="5"/>
  <c r="G24" i="5"/>
  <c r="F24" i="5"/>
  <c r="L23" i="5"/>
  <c r="K23" i="5"/>
  <c r="J23" i="5"/>
  <c r="I23" i="5"/>
  <c r="H23" i="5"/>
  <c r="G23" i="5"/>
  <c r="F23" i="5"/>
  <c r="L21" i="5"/>
  <c r="K21" i="5"/>
  <c r="J21" i="5"/>
  <c r="I21" i="5"/>
  <c r="H21" i="5"/>
  <c r="G21" i="5"/>
  <c r="F21" i="5"/>
  <c r="L20" i="5"/>
  <c r="K20" i="5"/>
  <c r="J20" i="5"/>
  <c r="I20" i="5"/>
  <c r="H20" i="5"/>
  <c r="G20" i="5"/>
  <c r="F20" i="5"/>
  <c r="L19" i="5"/>
  <c r="K19" i="5"/>
  <c r="J19" i="5"/>
  <c r="I19" i="5"/>
  <c r="H19" i="5"/>
  <c r="G19" i="5"/>
  <c r="F19" i="5"/>
  <c r="L17" i="5"/>
  <c r="K17" i="5"/>
  <c r="J17" i="5"/>
  <c r="I17" i="5"/>
  <c r="H17" i="5"/>
  <c r="G17" i="5"/>
  <c r="F17" i="5"/>
  <c r="L16" i="5"/>
  <c r="K16" i="5"/>
  <c r="J16" i="5"/>
  <c r="I16" i="5"/>
  <c r="H16" i="5"/>
  <c r="G16" i="5"/>
  <c r="F16" i="5"/>
  <c r="L15" i="5"/>
  <c r="K15" i="5"/>
  <c r="J15" i="5"/>
  <c r="I15" i="5"/>
  <c r="H15" i="5"/>
  <c r="G15" i="5"/>
  <c r="F15" i="5"/>
  <c r="L14" i="5"/>
  <c r="K14" i="5"/>
  <c r="J14" i="5"/>
  <c r="I14" i="5"/>
  <c r="H14" i="5"/>
  <c r="G14" i="5"/>
  <c r="F14" i="5"/>
  <c r="L13" i="5"/>
  <c r="K13" i="5"/>
  <c r="J13" i="5"/>
  <c r="I13" i="5"/>
  <c r="H13" i="5"/>
  <c r="G13" i="5"/>
  <c r="F13" i="5"/>
  <c r="L12" i="5"/>
  <c r="K12" i="5"/>
  <c r="J12" i="5"/>
  <c r="I12" i="5"/>
  <c r="H12" i="5"/>
  <c r="G12" i="5"/>
  <c r="F12" i="5"/>
  <c r="L10" i="5"/>
  <c r="K10" i="5"/>
  <c r="J10" i="5"/>
  <c r="I10" i="5"/>
  <c r="H10" i="5"/>
  <c r="G10" i="5"/>
  <c r="F10" i="5"/>
  <c r="L9" i="5"/>
  <c r="K9" i="5"/>
  <c r="J9" i="5"/>
  <c r="I9" i="5"/>
  <c r="H9" i="5"/>
  <c r="G9" i="5"/>
  <c r="F9" i="5"/>
  <c r="L8" i="5"/>
  <c r="K8" i="5"/>
  <c r="J8" i="5"/>
  <c r="I8" i="5"/>
  <c r="H8" i="5"/>
  <c r="G8" i="5"/>
  <c r="F8" i="5"/>
  <c r="J48" i="2"/>
  <c r="I48" i="2"/>
  <c r="H48" i="2"/>
  <c r="G48" i="2"/>
  <c r="F48" i="2"/>
  <c r="E48" i="2"/>
  <c r="D48" i="2"/>
  <c r="J40" i="2"/>
  <c r="I40" i="2"/>
  <c r="H40" i="2"/>
  <c r="G40" i="2"/>
  <c r="F40" i="2"/>
  <c r="E40" i="2"/>
  <c r="D40" i="2"/>
  <c r="J34" i="2"/>
  <c r="I34" i="2"/>
  <c r="H34" i="2"/>
  <c r="G34" i="2"/>
  <c r="F34" i="2"/>
  <c r="E34" i="2"/>
  <c r="D34" i="2"/>
  <c r="J28" i="2"/>
  <c r="I28" i="2"/>
  <c r="H28" i="2"/>
  <c r="G28" i="2"/>
  <c r="F28" i="2"/>
  <c r="E28" i="2"/>
  <c r="D28" i="2"/>
  <c r="J19" i="2"/>
  <c r="I19" i="2"/>
  <c r="H19" i="2"/>
  <c r="G19" i="2"/>
  <c r="F19" i="2"/>
  <c r="E19" i="2"/>
  <c r="D19" i="2"/>
</calcChain>
</file>

<file path=xl/sharedStrings.xml><?xml version="1.0" encoding="utf-8"?>
<sst xmlns="http://schemas.openxmlformats.org/spreadsheetml/2006/main" count="439" uniqueCount="163">
  <si>
    <t>VT_Model_DMD_02 - domanda finale con separazione elettrico / non elettrico</t>
  </si>
  <si>
    <t>Perche: nel run precedente i profili orari erano imposti con FLO_FR sui processi ELE_DMD_*.</t>
  </si>
  <si>
    <t>Ogni vincolo FLO_FR lega il flusso di un'ora alla somma dei flussi di tutte le 2016 timeslice: righe dense,</t>
  </si>
  <si>
    <t>circa 12 milioni di non-zeri su 17,3 totali, che hanno saturato la memoria di CPLEX su NEOS.</t>
  </si>
  <si>
    <t>Cosa cambia rispetto a VT_Model_DMD_01_C2:</t>
  </si>
  <si>
    <t>1) Ogni settore ha due domande: DEM_ELC_&lt;sett&gt; (elettrica, livello DAYNITE) e DEM_FUEL_&lt;sett&gt; (non elettrica, ANNUAL).</t>
  </si>
  <si>
    <t>2) Domanda elettrica = domanda totale x quota elettrica (Share-I di ELEC_LV_DIST del file C2), calcolata nel foglio DEMAND.</t>
  </si>
  <si>
    <t>3) Domanda non elettrica = domanda totale x (somma quote non elettriche).</t>
  </si>
  <si>
    <t>4) I processi DMD_FUEL_&lt;sett&gt; usano le quote dei combustibili rinormalizzate sulla sola parte non elettrica (foglio FINAL_DEMAND_PRC).</t>
  </si>
  <si>
    <t>5) Il profilo orario si applica con COM_FR sulle DEM_ELC_* (file Scen_COM_FR_ELC_DEM.xlsx): entra come termine noto,</t>
  </si>
  <si>
    <t xml:space="preserve">   non crea righe dense e, avendo interpolazione STD, vale per tutti i periodi 2023-2050.</t>
  </si>
  <si>
    <t>6) I processi non elettrici sono ANNUAL: non generano piu vincoli per ognuna delle 2016 timeslice.</t>
  </si>
  <si>
    <t>7) Le commodity di input (ELEC_LV_DIST, DIESEL, NLG, ...) NON sono ridichiarate qui: restano definite in ELC/SUP/SubRES.</t>
  </si>
  <si>
    <t>Dati di partenza: foglio INPUT, valori copiati da VT_Model_DMD_01_C2 (domande e quote; i valori 2023 nel file C2</t>
  </si>
  <si>
    <t>provenivano da collegamenti a cartelle esterne, qui sono riportati come valori). Celle in blu = input modificabili.</t>
  </si>
  <si>
    <t>Da fare in VEDA: rimuovere VT_Model_DMD_01 e VT_Model_DMD_01_C2 dalla cartella del modello e i quattro</t>
  </si>
  <si>
    <t>Scen_COM_FR_ELE_*.xlsx da SuppXLS; aggiungere questo file e Scen_COM_FR_ELC_DEM.xlsx; risincronizzare.</t>
  </si>
  <si>
    <t>Dati di partenza (da VT_Model_DMD_01_C2)</t>
  </si>
  <si>
    <t>Nessun tag VEDA in questo foglio: non viene letto dal modello. Celle in blu = input.</t>
  </si>
  <si>
    <t>Domanda finale totale [PJ/a]</t>
  </si>
  <si>
    <t>Settore</t>
  </si>
  <si>
    <t>2023</t>
  </si>
  <si>
    <t>2025</t>
  </si>
  <si>
    <t>2030</t>
  </si>
  <si>
    <t>2035</t>
  </si>
  <si>
    <t>2040</t>
  </si>
  <si>
    <t>2045</t>
  </si>
  <si>
    <t>2050</t>
  </si>
  <si>
    <t>RES</t>
  </si>
  <si>
    <t>IND</t>
  </si>
  <si>
    <t>SER</t>
  </si>
  <si>
    <t>AGR</t>
  </si>
  <si>
    <t>TRS</t>
  </si>
  <si>
    <t>Quote di input (Share-I FX) per settore - somma = 1</t>
  </si>
  <si>
    <t>Commodity</t>
  </si>
  <si>
    <t>Tipo</t>
  </si>
  <si>
    <t>ELEC_LV_DIST</t>
  </si>
  <si>
    <t>elettrico</t>
  </si>
  <si>
    <t>DIESEL</t>
  </si>
  <si>
    <t>non elettrico</t>
  </si>
  <si>
    <t>OGL</t>
  </si>
  <si>
    <t>NLG</t>
  </si>
  <si>
    <t>Somma (controllo)</t>
  </si>
  <si>
    <t>GASOLINE</t>
  </si>
  <si>
    <t>FUEL_OIL</t>
  </si>
  <si>
    <t>SOLID</t>
  </si>
  <si>
    <t>HYDROGEN_ENGINE</t>
  </si>
  <si>
    <t>Fattori di emissione CO2 [kt/PJ] (da foglio EMI del file C2)</t>
  </si>
  <si>
    <t>Commodity di domanda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</si>
  <si>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</si>
  <si>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</si>
  <si>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</si>
  <si>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</si>
  <si>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</si>
  <si>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</si>
  <si>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</si>
  <si>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</si>
  <si>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</si>
  <si>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</si>
  <si>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</si>
  <si>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</si>
  <si>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</si>
  <si>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</si>
  <si>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</si>
  <si>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</t>
  </si>
  <si>
    <t>DEM</t>
  </si>
  <si>
    <t>DEM_ELC_RES</t>
  </si>
  <si>
    <t>Domanda elettrica finale - Residenziale</t>
  </si>
  <si>
    <t>PJ</t>
  </si>
  <si>
    <t>DAYNITE</t>
  </si>
  <si>
    <t>DEM_FUEL_RES</t>
  </si>
  <si>
    <t>Domanda finale non elettrica - Residenziale</t>
  </si>
  <si>
    <t>DEM_ELC_IND</t>
  </si>
  <si>
    <t>Domanda elettrica finale - Industria</t>
  </si>
  <si>
    <t>DEM_FUEL_IND</t>
  </si>
  <si>
    <t>Domanda finale non elettrica - Industria</t>
  </si>
  <si>
    <t>DEM_ELC_SER</t>
  </si>
  <si>
    <t>Domanda elettrica finale - Servizi</t>
  </si>
  <si>
    <t>DEM_FUEL_SER</t>
  </si>
  <si>
    <t>Domanda finale non elettrica - Servizi</t>
  </si>
  <si>
    <t>DEM_ELC_AGR</t>
  </si>
  <si>
    <t>Domanda elettrica finale - Agricoltura</t>
  </si>
  <si>
    <t>DEM_FUEL_AGR</t>
  </si>
  <si>
    <t>Domanda finale non elettrica - Agricoltura</t>
  </si>
  <si>
    <t>DEM_ELC_TRS</t>
  </si>
  <si>
    <t>Domanda elettrica finale - Trasporti</t>
  </si>
  <si>
    <t>DEM_FUEL_TRS</t>
  </si>
  <si>
    <t>Domanda finale non elettrica - Trasporti</t>
  </si>
  <si>
    <t>Processi di domanda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</si>
  <si>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</si>
  <si>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</si>
  <si>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</si>
  <si>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</si>
  <si>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</si>
  <si>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</si>
  <si>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</si>
  <si>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</si>
  <si>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</si>
  <si>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</si>
  <si>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</si>
  <si>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</si>
  <si>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</si>
  <si>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</si>
  <si>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</si>
  <si>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</si>
  <si>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</si>
  <si>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</si>
  <si>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DMD</t>
  </si>
  <si>
    <t>SAR</t>
  </si>
  <si>
    <t>DMD_ELC_RES</t>
  </si>
  <si>
    <t>Domanda elettrica - Residenziale</t>
  </si>
  <si>
    <t>PJa</t>
  </si>
  <si>
    <t>DMD_FUEL_RES</t>
  </si>
  <si>
    <t>Domanda non elettrica - Residenziale</t>
  </si>
  <si>
    <t>ANNUAL</t>
  </si>
  <si>
    <t>DMD_ELC_IND</t>
  </si>
  <si>
    <t>Domanda elettrica - Industria</t>
  </si>
  <si>
    <t>DMD_FUEL_IND</t>
  </si>
  <si>
    <t>Domanda non elettrica - Industria</t>
  </si>
  <si>
    <t>DMD_ELC_SER</t>
  </si>
  <si>
    <t>Domanda elettrica - Servizi</t>
  </si>
  <si>
    <t>DMD_FUEL_SER</t>
  </si>
  <si>
    <t>Domanda non elettrica - Servizi</t>
  </si>
  <si>
    <t>DMD_ELC_AGR</t>
  </si>
  <si>
    <t>Domanda elettrica - Agricoltura</t>
  </si>
  <si>
    <t>DMD_FUEL_AGR</t>
  </si>
  <si>
    <t>Domanda non elettrica - Agricoltura</t>
  </si>
  <si>
    <t>DMD_ELC_TRS</t>
  </si>
  <si>
    <t>Domanda elettrica - Trasporti</t>
  </si>
  <si>
    <t>DMD_FUEL_TRS</t>
  </si>
  <si>
    <t>Domanda non elettrica - Trasporti</t>
  </si>
  <si>
    <t>Tecnologie di domanda</t>
  </si>
  <si>
    <t>Quote non elettriche = quota combustibile / somma quote non elettriche (formule su INPUT)</t>
  </si>
  <si>
    <t>~FI_T</t>
  </si>
  <si>
    <t>*TechDesc</t>
  </si>
  <si>
    <t>Comm-IN</t>
  </si>
  <si>
    <t>Comm-OUT</t>
  </si>
  <si>
    <t>Share-I~2023</t>
  </si>
  <si>
    <t>Share-I~2025</t>
  </si>
  <si>
    <t>Share-I~2030</t>
  </si>
  <si>
    <t>Share-I~2035</t>
  </si>
  <si>
    <t>Share-I~2040</t>
  </si>
  <si>
    <t>Share-I~2045</t>
  </si>
  <si>
    <t>Share-I~2050</t>
  </si>
  <si>
    <t>EFF</t>
  </si>
  <si>
    <t>CAP2ACT</t>
  </si>
  <si>
    <t>\I: Technology Name</t>
  </si>
  <si>
    <t>Commodity Input</t>
  </si>
  <si>
    <t>Commodity Output</t>
  </si>
  <si>
    <t>Quota input FX</t>
  </si>
  <si>
    <t>Efficiency</t>
  </si>
  <si>
    <t>Cap to Act</t>
  </si>
  <si>
    <t>Domanda di servizio</t>
  </si>
  <si>
    <t>DEM_ELC = totale x quota elettrica ; DEM_FUEL = totale x somma quote non elettriche</t>
  </si>
  <si>
    <t>~FI_T:DEMAND</t>
  </si>
  <si>
    <t>\I: Commodity Name</t>
  </si>
  <si>
    <t>Annual Demand [PJ/a]</t>
  </si>
  <si>
    <t>Controllo: ELC+FUEL - totale (deve essere 0)</t>
  </si>
  <si>
    <t>Fattori di emissione per combustibile [kt/PJ]</t>
  </si>
  <si>
    <t>~PRCCOMEMI</t>
  </si>
  <si>
    <t>Commodity Name (Pollutant)</t>
  </si>
  <si>
    <t>kt/PJ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</si>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</sst>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7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0"/>
      <name val="Arial"/>
      <family val="2"/>
    </font>
    <font>
      <i/>
      <sz val="10"/>
      <color rgb="FF80808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164" fontId="5" fillId="0" borderId="0" xfId="0" applyNumberFormat="1" applyFont="1"/>
    <xf numFmtId="165" fontId="5" fillId="0" borderId="0" xfId="0" applyNumberFormat="1" applyFont="1"/>
    <xf numFmtId="165" fontId="3" fillId="0" borderId="0" xfId="0" applyNumberFormat="1" applyFont="1"/>
    <xf numFmtId="0" fontId="5" fillId="0" borderId="0" xfId="0" applyFont="1"/>
    <xf numFmtId="0" fontId="3" fillId="3" borderId="0" xfId="0" applyFont="1" applyFill="1"/>
    <xf numFmtId="165" fontId="2" fillId="0" borderId="0" xfId="0" applyNumberFormat="1" applyFont="1"/>
    <xf numFmtId="164" fontId="2" fillId="0" borderId="0" xfId="0" applyNumberFormat="1" applyFont="1"/>
    <xf numFmtId="166" fontId="3" fillId="0" borderId="0" xfId="0" applyNumberFormat="1" applyFont="1"/>
    <xf numFmtId="0" fontId="6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2"/>
  <sheetViews>
    <sheetView zoomScaleNormal="100" workbookViewId="0"/>
  </sheetViews>
  <sheetFormatPr defaultColWidth="8.7109375" defaultRowHeight="15" x14ac:dyDescent="0.25"/>
  <cols>
    <col min="2" max="2" width="120" customWidth="1"/>
  </cols>
  <sheetData>
    <row r="2" spans="2:2" ht="15.75" x14ac:dyDescent="0.25">
      <c r="B2" s="1" t="s">
        <v>0</v>
      </c>
    </row>
    <row r="3" spans="2:2" x14ac:dyDescent="0.25">
      <c r="B3" s="2"/>
    </row>
    <row r="4" spans="2:2" x14ac:dyDescent="0.25">
      <c r="B4" s="2" t="s">
        <v>1</v>
      </c>
    </row>
    <row r="5" spans="2:2" x14ac:dyDescent="0.25">
      <c r="B5" s="2" t="s">
        <v>2</v>
      </c>
    </row>
    <row r="6" spans="2:2" x14ac:dyDescent="0.25">
      <c r="B6" s="2" t="s">
        <v>3</v>
      </c>
    </row>
    <row r="7" spans="2:2" x14ac:dyDescent="0.25">
      <c r="B7" s="2"/>
    </row>
    <row r="8" spans="2:2" x14ac:dyDescent="0.25">
      <c r="B8" s="2" t="s">
        <v>4</v>
      </c>
    </row>
    <row r="9" spans="2:2" x14ac:dyDescent="0.25">
      <c r="B9" s="2" t="s">
        <v>5</v>
      </c>
    </row>
    <row r="10" spans="2:2" x14ac:dyDescent="0.25">
      <c r="B10" s="2" t="s">
        <v>6</v>
      </c>
    </row>
    <row r="11" spans="2:2" x14ac:dyDescent="0.25">
      <c r="B11" s="2" t="s">
        <v>7</v>
      </c>
    </row>
    <row r="12" spans="2:2" x14ac:dyDescent="0.25">
      <c r="B12" s="2" t="s">
        <v>8</v>
      </c>
    </row>
    <row r="13" spans="2:2" x14ac:dyDescent="0.25">
      <c r="B13" s="2" t="s">
        <v>9</v>
      </c>
    </row>
    <row r="14" spans="2:2" x14ac:dyDescent="0.25">
      <c r="B14" s="2" t="s">
        <v>10</v>
      </c>
    </row>
    <row r="15" spans="2:2" x14ac:dyDescent="0.25">
      <c r="B15" s="2" t="s">
        <v>11</v>
      </c>
    </row>
    <row r="16" spans="2:2" x14ac:dyDescent="0.25">
      <c r="B16" s="2" t="s">
        <v>12</v>
      </c>
    </row>
    <row r="17" spans="2:2" x14ac:dyDescent="0.25">
      <c r="B17" s="2"/>
    </row>
    <row r="18" spans="2:2" x14ac:dyDescent="0.25">
      <c r="B18" s="2" t="s">
        <v>13</v>
      </c>
    </row>
    <row r="19" spans="2:2" x14ac:dyDescent="0.25">
      <c r="B19" s="2" t="s">
        <v>14</v>
      </c>
    </row>
    <row r="20" spans="2:2" x14ac:dyDescent="0.25">
      <c r="B20" s="2"/>
    </row>
    <row r="21" spans="2:2" x14ac:dyDescent="0.25">
      <c r="B21" s="2" t="s">
        <v>15</v>
      </c>
    </row>
    <row r="22" spans="2:2" x14ac:dyDescent="0.25">
      <c r="B22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52"/>
  <sheetViews>
    <sheetView zoomScaleNormal="100" workbookViewId="0"/>
  </sheetViews>
  <sheetFormatPr defaultColWidth="8.7109375" defaultRowHeight="15" x14ac:dyDescent="0.25"/>
  <cols>
    <col min="2" max="2" width="12" customWidth="1"/>
    <col min="3" max="3" width="18" customWidth="1"/>
    <col min="4" max="11" width="11" customWidth="1"/>
  </cols>
  <sheetData>
    <row r="2" spans="2:11" ht="15.75" x14ac:dyDescent="0.25">
      <c r="B2" s="1" t="s">
        <v>17</v>
      </c>
    </row>
    <row r="3" spans="2:11" x14ac:dyDescent="0.25">
      <c r="B3" s="3" t="s">
        <v>18</v>
      </c>
    </row>
    <row r="4" spans="2:11" x14ac:dyDescent="0.25">
      <c r="B4" s="4" t="s">
        <v>19</v>
      </c>
    </row>
    <row r="5" spans="2:11" x14ac:dyDescent="0.25"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</row>
    <row r="6" spans="2:11" x14ac:dyDescent="0.25">
      <c r="B6" s="2" t="s">
        <v>28</v>
      </c>
      <c r="C6" s="6">
        <v>14.385823239436601</v>
      </c>
      <c r="D6" s="6">
        <v>13.7402413732396</v>
      </c>
      <c r="E6" s="6">
        <v>13.488017659804999</v>
      </c>
      <c r="F6" s="6">
        <v>13.6119939463706</v>
      </c>
      <c r="G6" s="6">
        <v>14.6054102329361</v>
      </c>
      <c r="H6" s="6">
        <v>16.1296865195017</v>
      </c>
      <c r="I6" s="6">
        <v>17.653962806067199</v>
      </c>
    </row>
    <row r="7" spans="2:11" x14ac:dyDescent="0.25">
      <c r="B7" s="2" t="s">
        <v>29</v>
      </c>
      <c r="C7" s="6">
        <v>23.436112172000001</v>
      </c>
      <c r="D7" s="6">
        <v>24.547543659999999</v>
      </c>
      <c r="E7" s="6">
        <v>26.40701907</v>
      </c>
      <c r="F7" s="6">
        <v>28.266494479999999</v>
      </c>
      <c r="G7" s="6">
        <v>30.499896549999999</v>
      </c>
      <c r="H7" s="6">
        <v>35.826740319999999</v>
      </c>
      <c r="I7" s="6">
        <v>41.630361319999999</v>
      </c>
    </row>
    <row r="8" spans="2:11" x14ac:dyDescent="0.25">
      <c r="B8" s="2" t="s">
        <v>30</v>
      </c>
      <c r="C8" s="6">
        <v>9.9521619999999995</v>
      </c>
      <c r="D8" s="6">
        <v>10.136709</v>
      </c>
      <c r="E8" s="6">
        <v>11.0477078461538</v>
      </c>
      <c r="F8" s="6">
        <v>11.9587066923077</v>
      </c>
      <c r="G8" s="6">
        <v>12.869705538461499</v>
      </c>
      <c r="H8" s="6">
        <v>13.780704384615399</v>
      </c>
      <c r="I8" s="6">
        <v>14.6917032307692</v>
      </c>
    </row>
    <row r="9" spans="2:11" x14ac:dyDescent="0.25">
      <c r="B9" s="2" t="s">
        <v>31</v>
      </c>
      <c r="C9" s="6">
        <v>4.0977760559999998</v>
      </c>
      <c r="D9" s="6">
        <v>4.3241330879999902</v>
      </c>
      <c r="E9" s="6">
        <v>5.14068465297896</v>
      </c>
      <c r="F9" s="6">
        <v>5.8631577317158401</v>
      </c>
      <c r="G9" s="6">
        <v>6.6527824147297698</v>
      </c>
      <c r="H9" s="6">
        <v>7.7475745422621296</v>
      </c>
      <c r="I9" s="6">
        <v>8.8593188176897009</v>
      </c>
    </row>
    <row r="10" spans="2:11" x14ac:dyDescent="0.25">
      <c r="B10" s="2" t="s">
        <v>32</v>
      </c>
      <c r="C10" s="6">
        <v>34.547267414993598</v>
      </c>
      <c r="D10" s="6">
        <v>35.452017919999903</v>
      </c>
      <c r="E10" s="6">
        <v>39.960190162610402</v>
      </c>
      <c r="F10" s="6">
        <v>43.890174909795</v>
      </c>
      <c r="G10" s="6">
        <v>47.806498858510899</v>
      </c>
      <c r="H10" s="6">
        <v>52.121889890618299</v>
      </c>
      <c r="I10" s="6">
        <v>56.1706133682342</v>
      </c>
    </row>
    <row r="13" spans="2:11" x14ac:dyDescent="0.25">
      <c r="B13" s="4" t="s">
        <v>33</v>
      </c>
    </row>
    <row r="14" spans="2:11" x14ac:dyDescent="0.25">
      <c r="B14" s="5" t="s">
        <v>20</v>
      </c>
      <c r="C14" s="5" t="s">
        <v>34</v>
      </c>
      <c r="D14" s="5" t="s">
        <v>21</v>
      </c>
      <c r="E14" s="5" t="s">
        <v>22</v>
      </c>
      <c r="F14" s="5" t="s">
        <v>23</v>
      </c>
      <c r="G14" s="5" t="s">
        <v>24</v>
      </c>
      <c r="H14" s="5" t="s">
        <v>25</v>
      </c>
      <c r="I14" s="5" t="s">
        <v>26</v>
      </c>
      <c r="J14" s="5" t="s">
        <v>27</v>
      </c>
      <c r="K14" s="5" t="s">
        <v>35</v>
      </c>
    </row>
    <row r="15" spans="2:11" x14ac:dyDescent="0.25">
      <c r="B15" s="2" t="s">
        <v>28</v>
      </c>
      <c r="C15" s="2" t="s">
        <v>36</v>
      </c>
      <c r="D15" s="7">
        <v>0.55979578682436204</v>
      </c>
      <c r="E15" s="7">
        <v>0.57999999999999996</v>
      </c>
      <c r="F15" s="7">
        <v>0.62</v>
      </c>
      <c r="G15" s="7">
        <v>0.66</v>
      </c>
      <c r="H15" s="7">
        <v>0.7</v>
      </c>
      <c r="I15" s="7">
        <v>0.74</v>
      </c>
      <c r="J15" s="7">
        <v>0.79</v>
      </c>
      <c r="K15" s="2" t="s">
        <v>37</v>
      </c>
    </row>
    <row r="16" spans="2:11" x14ac:dyDescent="0.25">
      <c r="B16" s="2" t="s">
        <v>28</v>
      </c>
      <c r="C16" s="2" t="s">
        <v>38</v>
      </c>
      <c r="D16" s="7">
        <v>8.4263512753092407E-2</v>
      </c>
      <c r="E16" s="7">
        <v>0.02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2" t="s">
        <v>39</v>
      </c>
    </row>
    <row r="17" spans="2:11" x14ac:dyDescent="0.25">
      <c r="B17" s="2" t="s">
        <v>28</v>
      </c>
      <c r="C17" s="2" t="s">
        <v>40</v>
      </c>
      <c r="D17" s="7">
        <v>0.26092632569750701</v>
      </c>
      <c r="E17" s="7">
        <v>0.23</v>
      </c>
      <c r="F17" s="7">
        <v>0.2</v>
      </c>
      <c r="G17" s="7">
        <v>0.16</v>
      </c>
      <c r="H17" s="7">
        <v>0.12</v>
      </c>
      <c r="I17" s="7">
        <v>0.05</v>
      </c>
      <c r="J17" s="7">
        <v>0</v>
      </c>
      <c r="K17" s="2" t="s">
        <v>39</v>
      </c>
    </row>
    <row r="18" spans="2:11" x14ac:dyDescent="0.25">
      <c r="B18" s="2" t="s">
        <v>28</v>
      </c>
      <c r="C18" s="2" t="s">
        <v>41</v>
      </c>
      <c r="D18" s="7">
        <v>9.5014374725038597E-2</v>
      </c>
      <c r="E18" s="7">
        <v>0.17</v>
      </c>
      <c r="F18" s="7">
        <v>0.18</v>
      </c>
      <c r="G18" s="7">
        <v>0.18</v>
      </c>
      <c r="H18" s="7">
        <v>0.18</v>
      </c>
      <c r="I18" s="7">
        <v>0.21</v>
      </c>
      <c r="J18" s="7">
        <v>0.21</v>
      </c>
      <c r="K18" s="2" t="s">
        <v>39</v>
      </c>
    </row>
    <row r="19" spans="2:11" x14ac:dyDescent="0.25">
      <c r="C19" s="3" t="s">
        <v>42</v>
      </c>
      <c r="D19" s="8">
        <f t="shared" ref="D19:J19" si="0">SUM(D15:D18)</f>
        <v>1</v>
      </c>
      <c r="E19" s="8">
        <f t="shared" si="0"/>
        <v>1</v>
      </c>
      <c r="F19" s="8">
        <f t="shared" si="0"/>
        <v>1</v>
      </c>
      <c r="G19" s="8">
        <f t="shared" si="0"/>
        <v>1</v>
      </c>
      <c r="H19" s="8">
        <f t="shared" si="0"/>
        <v>1</v>
      </c>
      <c r="I19" s="8">
        <f t="shared" si="0"/>
        <v>1</v>
      </c>
      <c r="J19" s="8">
        <f t="shared" si="0"/>
        <v>1</v>
      </c>
    </row>
    <row r="21" spans="2:11" x14ac:dyDescent="0.25">
      <c r="B21" s="2" t="s">
        <v>29</v>
      </c>
      <c r="C21" s="2" t="s">
        <v>36</v>
      </c>
      <c r="D21" s="7">
        <v>0.463045552095327</v>
      </c>
      <c r="E21" s="7">
        <v>0.41</v>
      </c>
      <c r="F21" s="7">
        <v>0.52</v>
      </c>
      <c r="G21" s="7">
        <v>0.62</v>
      </c>
      <c r="H21" s="7">
        <v>0.68</v>
      </c>
      <c r="I21" s="7">
        <v>0.75</v>
      </c>
      <c r="J21" s="7">
        <v>0.75</v>
      </c>
      <c r="K21" s="2" t="s">
        <v>37</v>
      </c>
    </row>
    <row r="22" spans="2:11" x14ac:dyDescent="0.25">
      <c r="B22" s="2" t="s">
        <v>29</v>
      </c>
      <c r="C22" s="2" t="s">
        <v>38</v>
      </c>
      <c r="D22" s="7">
        <v>2.5717995162723099E-2</v>
      </c>
      <c r="E22" s="7">
        <v>0.02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2" t="s">
        <v>39</v>
      </c>
    </row>
    <row r="23" spans="2:11" x14ac:dyDescent="0.25">
      <c r="B23" s="2" t="s">
        <v>29</v>
      </c>
      <c r="C23" s="2" t="s">
        <v>43</v>
      </c>
      <c r="D23" s="7">
        <v>8.3096927613609498E-2</v>
      </c>
      <c r="E23" s="7">
        <v>0.09</v>
      </c>
      <c r="F23" s="7">
        <v>0.09</v>
      </c>
      <c r="G23" s="7">
        <v>0</v>
      </c>
      <c r="H23" s="7">
        <v>0</v>
      </c>
      <c r="I23" s="7">
        <v>0</v>
      </c>
      <c r="J23" s="7">
        <v>0</v>
      </c>
      <c r="K23" s="2" t="s">
        <v>39</v>
      </c>
    </row>
    <row r="24" spans="2:11" x14ac:dyDescent="0.25">
      <c r="B24" s="2" t="s">
        <v>29</v>
      </c>
      <c r="C24" s="2" t="s">
        <v>40</v>
      </c>
      <c r="D24" s="7">
        <v>8.3355984283802698E-2</v>
      </c>
      <c r="E24" s="7">
        <v>0.12</v>
      </c>
      <c r="F24" s="7">
        <v>0.1</v>
      </c>
      <c r="G24" s="7">
        <v>0.08</v>
      </c>
      <c r="H24" s="7">
        <v>0</v>
      </c>
      <c r="I24" s="7">
        <v>0</v>
      </c>
      <c r="J24" s="7">
        <v>0</v>
      </c>
      <c r="K24" s="2" t="s">
        <v>39</v>
      </c>
    </row>
    <row r="25" spans="2:11" x14ac:dyDescent="0.25">
      <c r="B25" s="2" t="s">
        <v>29</v>
      </c>
      <c r="C25" s="2" t="s">
        <v>44</v>
      </c>
      <c r="D25" s="7">
        <v>9.92809491830835E-2</v>
      </c>
      <c r="E25" s="7">
        <v>0.05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2" t="s">
        <v>39</v>
      </c>
    </row>
    <row r="26" spans="2:11" x14ac:dyDescent="0.25">
      <c r="B26" s="2" t="s">
        <v>29</v>
      </c>
      <c r="C26" s="2" t="s">
        <v>41</v>
      </c>
      <c r="D26" s="7">
        <v>0</v>
      </c>
      <c r="E26" s="7">
        <v>0.03</v>
      </c>
      <c r="F26" s="7">
        <v>0.05</v>
      </c>
      <c r="G26" s="7">
        <v>0.1</v>
      </c>
      <c r="H26" s="7">
        <v>0.2</v>
      </c>
      <c r="I26" s="7">
        <v>0.21</v>
      </c>
      <c r="J26" s="7">
        <v>0.25</v>
      </c>
      <c r="K26" s="2" t="s">
        <v>39</v>
      </c>
    </row>
    <row r="27" spans="2:11" x14ac:dyDescent="0.25">
      <c r="B27" s="2" t="s">
        <v>29</v>
      </c>
      <c r="C27" s="2" t="s">
        <v>45</v>
      </c>
      <c r="D27" s="7">
        <v>0.24550259166145399</v>
      </c>
      <c r="E27" s="7">
        <v>0.28000000000000003</v>
      </c>
      <c r="F27" s="7">
        <v>0.24</v>
      </c>
      <c r="G27" s="7">
        <v>0.2</v>
      </c>
      <c r="H27" s="7">
        <v>0.12</v>
      </c>
      <c r="I27" s="7">
        <v>0.04</v>
      </c>
      <c r="J27" s="7">
        <v>0</v>
      </c>
      <c r="K27" s="2" t="s">
        <v>39</v>
      </c>
    </row>
    <row r="28" spans="2:11" x14ac:dyDescent="0.25">
      <c r="C28" s="3" t="s">
        <v>42</v>
      </c>
      <c r="D28" s="8">
        <f t="shared" ref="D28:J28" si="1">SUM(D21:D27)</f>
        <v>0.99999999999999978</v>
      </c>
      <c r="E28" s="8">
        <f t="shared" si="1"/>
        <v>1</v>
      </c>
      <c r="F28" s="8">
        <f t="shared" si="1"/>
        <v>1</v>
      </c>
      <c r="G28" s="8">
        <f t="shared" si="1"/>
        <v>1</v>
      </c>
      <c r="H28" s="8">
        <f t="shared" si="1"/>
        <v>1</v>
      </c>
      <c r="I28" s="8">
        <f t="shared" si="1"/>
        <v>1</v>
      </c>
      <c r="J28" s="8">
        <f t="shared" si="1"/>
        <v>1</v>
      </c>
    </row>
    <row r="30" spans="2:11" x14ac:dyDescent="0.25">
      <c r="B30" s="2" t="s">
        <v>30</v>
      </c>
      <c r="C30" s="2" t="s">
        <v>36</v>
      </c>
      <c r="D30" s="7">
        <v>0.76479482548616096</v>
      </c>
      <c r="E30" s="7">
        <v>0.73</v>
      </c>
      <c r="F30" s="7">
        <v>0.78</v>
      </c>
      <c r="G30" s="7">
        <v>0.84</v>
      </c>
      <c r="H30" s="7">
        <v>0.89</v>
      </c>
      <c r="I30" s="7">
        <v>0.91</v>
      </c>
      <c r="J30" s="7">
        <v>0.91</v>
      </c>
      <c r="K30" s="2" t="s">
        <v>37</v>
      </c>
    </row>
    <row r="31" spans="2:11" x14ac:dyDescent="0.25">
      <c r="B31" s="2" t="s">
        <v>30</v>
      </c>
      <c r="C31" s="2" t="s">
        <v>38</v>
      </c>
      <c r="D31" s="7">
        <v>9.2402032844722606E-2</v>
      </c>
      <c r="E31" s="7">
        <v>0.09</v>
      </c>
      <c r="F31" s="7">
        <v>0.04</v>
      </c>
      <c r="G31" s="7">
        <v>0</v>
      </c>
      <c r="H31" s="7">
        <v>0</v>
      </c>
      <c r="I31" s="7">
        <v>0</v>
      </c>
      <c r="J31" s="7">
        <v>0</v>
      </c>
      <c r="K31" s="2" t="s">
        <v>39</v>
      </c>
    </row>
    <row r="32" spans="2:11" x14ac:dyDescent="0.25">
      <c r="B32" s="2" t="s">
        <v>30</v>
      </c>
      <c r="C32" s="2" t="s">
        <v>40</v>
      </c>
      <c r="D32" s="7">
        <v>0.14280314166911701</v>
      </c>
      <c r="E32" s="7">
        <v>0.16</v>
      </c>
      <c r="F32" s="7">
        <v>0.12</v>
      </c>
      <c r="G32" s="7">
        <v>0.04</v>
      </c>
      <c r="H32" s="7">
        <v>0</v>
      </c>
      <c r="I32" s="7">
        <v>0</v>
      </c>
      <c r="J32" s="7">
        <v>0</v>
      </c>
      <c r="K32" s="2" t="s">
        <v>39</v>
      </c>
    </row>
    <row r="33" spans="2:11" x14ac:dyDescent="0.25">
      <c r="B33" s="2" t="s">
        <v>30</v>
      </c>
      <c r="C33" s="2" t="s">
        <v>41</v>
      </c>
      <c r="D33" s="7">
        <v>0</v>
      </c>
      <c r="E33" s="7">
        <v>0.02</v>
      </c>
      <c r="F33" s="7">
        <v>0.06</v>
      </c>
      <c r="G33" s="7">
        <v>0.12</v>
      </c>
      <c r="H33" s="7">
        <v>0.11</v>
      </c>
      <c r="I33" s="7">
        <v>0.09</v>
      </c>
      <c r="J33" s="7">
        <v>0.09</v>
      </c>
      <c r="K33" s="2" t="s">
        <v>39</v>
      </c>
    </row>
    <row r="34" spans="2:11" x14ac:dyDescent="0.25">
      <c r="C34" s="3" t="s">
        <v>42</v>
      </c>
      <c r="D34" s="8">
        <f t="shared" ref="D34:J34" si="2">SUM(D30:D33)</f>
        <v>1.0000000000000004</v>
      </c>
      <c r="E34" s="8">
        <f t="shared" si="2"/>
        <v>1</v>
      </c>
      <c r="F34" s="8">
        <f t="shared" si="2"/>
        <v>1</v>
      </c>
      <c r="G34" s="8">
        <f t="shared" si="2"/>
        <v>1</v>
      </c>
      <c r="H34" s="8">
        <f t="shared" si="2"/>
        <v>1</v>
      </c>
      <c r="I34" s="8">
        <f t="shared" si="2"/>
        <v>1</v>
      </c>
      <c r="J34" s="8">
        <f t="shared" si="2"/>
        <v>1</v>
      </c>
    </row>
    <row r="36" spans="2:11" x14ac:dyDescent="0.25">
      <c r="B36" s="2" t="s">
        <v>31</v>
      </c>
      <c r="C36" s="2" t="s">
        <v>38</v>
      </c>
      <c r="D36" s="7">
        <v>0.20350306815302499</v>
      </c>
      <c r="E36" s="7">
        <v>0.94</v>
      </c>
      <c r="F36" s="7">
        <v>0.8</v>
      </c>
      <c r="G36" s="7">
        <v>0.65</v>
      </c>
      <c r="H36" s="7">
        <v>0.49</v>
      </c>
      <c r="I36" s="7">
        <v>0.37</v>
      </c>
      <c r="J36" s="7">
        <v>0.2</v>
      </c>
      <c r="K36" s="2" t="s">
        <v>39</v>
      </c>
    </row>
    <row r="37" spans="2:11" x14ac:dyDescent="0.25">
      <c r="B37" s="2" t="s">
        <v>31</v>
      </c>
      <c r="C37" s="2" t="s">
        <v>36</v>
      </c>
      <c r="D37" s="7">
        <v>0.79649693184697601</v>
      </c>
      <c r="E37" s="7">
        <v>0.06</v>
      </c>
      <c r="F37" s="7">
        <v>0.11</v>
      </c>
      <c r="G37" s="7">
        <v>0.14000000000000001</v>
      </c>
      <c r="H37" s="7">
        <v>0.21</v>
      </c>
      <c r="I37" s="7">
        <v>0.25</v>
      </c>
      <c r="J37" s="7">
        <v>0.3</v>
      </c>
      <c r="K37" s="2" t="s">
        <v>37</v>
      </c>
    </row>
    <row r="38" spans="2:11" x14ac:dyDescent="0.25">
      <c r="B38" s="2" t="s">
        <v>31</v>
      </c>
      <c r="C38" s="2" t="s">
        <v>41</v>
      </c>
      <c r="D38" s="7">
        <v>0</v>
      </c>
      <c r="E38" s="7">
        <v>0</v>
      </c>
      <c r="F38" s="7">
        <v>0.06</v>
      </c>
      <c r="G38" s="7">
        <v>0.12</v>
      </c>
      <c r="H38" s="7">
        <v>0.14000000000000001</v>
      </c>
      <c r="I38" s="7">
        <v>0.19</v>
      </c>
      <c r="J38" s="7">
        <v>0.25</v>
      </c>
      <c r="K38" s="2" t="s">
        <v>39</v>
      </c>
    </row>
    <row r="39" spans="2:11" x14ac:dyDescent="0.25">
      <c r="B39" s="2" t="s">
        <v>31</v>
      </c>
      <c r="C39" s="2" t="s">
        <v>46</v>
      </c>
      <c r="D39" s="7">
        <v>0</v>
      </c>
      <c r="E39" s="7">
        <v>0</v>
      </c>
      <c r="F39" s="7">
        <v>0.03</v>
      </c>
      <c r="G39" s="7">
        <v>0.09</v>
      </c>
      <c r="H39" s="7">
        <v>0.16</v>
      </c>
      <c r="I39" s="7">
        <v>0.19</v>
      </c>
      <c r="J39" s="7">
        <v>0.25</v>
      </c>
      <c r="K39" s="2" t="s">
        <v>39</v>
      </c>
    </row>
    <row r="40" spans="2:11" x14ac:dyDescent="0.25">
      <c r="C40" s="3" t="s">
        <v>42</v>
      </c>
      <c r="D40" s="8">
        <f t="shared" ref="D40:J40" si="3">SUM(D36:D39)</f>
        <v>1.0000000000000009</v>
      </c>
      <c r="E40" s="8">
        <f t="shared" si="3"/>
        <v>1</v>
      </c>
      <c r="F40" s="8">
        <f t="shared" si="3"/>
        <v>1</v>
      </c>
      <c r="G40" s="8">
        <f t="shared" si="3"/>
        <v>1</v>
      </c>
      <c r="H40" s="8">
        <f t="shared" si="3"/>
        <v>1</v>
      </c>
      <c r="I40" s="8">
        <f t="shared" si="3"/>
        <v>1</v>
      </c>
      <c r="J40" s="8">
        <f t="shared" si="3"/>
        <v>1</v>
      </c>
    </row>
    <row r="42" spans="2:11" x14ac:dyDescent="0.25">
      <c r="B42" s="2" t="s">
        <v>32</v>
      </c>
      <c r="C42" s="2" t="s">
        <v>43</v>
      </c>
      <c r="D42" s="7">
        <v>0.41736419743223702</v>
      </c>
      <c r="E42" s="7">
        <v>0.38</v>
      </c>
      <c r="F42" s="7">
        <v>0.38</v>
      </c>
      <c r="G42" s="7">
        <v>0.34</v>
      </c>
      <c r="H42" s="7">
        <v>0.28000000000000003</v>
      </c>
      <c r="I42" s="7">
        <v>0.2</v>
      </c>
      <c r="J42" s="7">
        <v>0.1</v>
      </c>
      <c r="K42" s="2" t="s">
        <v>39</v>
      </c>
    </row>
    <row r="43" spans="2:11" x14ac:dyDescent="0.25">
      <c r="B43" s="2" t="s">
        <v>32</v>
      </c>
      <c r="C43" s="2" t="s">
        <v>38</v>
      </c>
      <c r="D43" s="7">
        <v>0.54999870673944895</v>
      </c>
      <c r="E43" s="7">
        <v>0.59</v>
      </c>
      <c r="F43" s="7">
        <v>0.5</v>
      </c>
      <c r="G43" s="7">
        <v>0.45</v>
      </c>
      <c r="H43" s="7">
        <v>0.35</v>
      </c>
      <c r="I43" s="7">
        <v>0.27</v>
      </c>
      <c r="J43" s="7">
        <v>0.12</v>
      </c>
      <c r="K43" s="2" t="s">
        <v>39</v>
      </c>
    </row>
    <row r="44" spans="2:11" x14ac:dyDescent="0.25">
      <c r="B44" s="2" t="s">
        <v>32</v>
      </c>
      <c r="C44" s="2" t="s">
        <v>40</v>
      </c>
      <c r="D44" s="7">
        <v>1.9202948834671899E-2</v>
      </c>
      <c r="E44" s="7">
        <v>0.02</v>
      </c>
      <c r="F44" s="7">
        <v>0.04</v>
      </c>
      <c r="G44" s="7">
        <v>0.05</v>
      </c>
      <c r="H44" s="7">
        <v>0.06</v>
      </c>
      <c r="I44" s="7">
        <v>0.06</v>
      </c>
      <c r="J44" s="7">
        <v>0.06</v>
      </c>
      <c r="K44" s="2" t="s">
        <v>39</v>
      </c>
    </row>
    <row r="45" spans="2:11" x14ac:dyDescent="0.25">
      <c r="B45" s="2" t="s">
        <v>32</v>
      </c>
      <c r="C45" s="2" t="s">
        <v>36</v>
      </c>
      <c r="D45" s="7">
        <v>1.34341469936421E-2</v>
      </c>
      <c r="E45" s="7">
        <v>0.01</v>
      </c>
      <c r="F45" s="7">
        <v>0.05</v>
      </c>
      <c r="G45" s="7">
        <v>7.0000000000000007E-2</v>
      </c>
      <c r="H45" s="7">
        <v>0.13</v>
      </c>
      <c r="I45" s="7">
        <v>0.21</v>
      </c>
      <c r="J45" s="7">
        <v>0.35</v>
      </c>
      <c r="K45" s="2" t="s">
        <v>37</v>
      </c>
    </row>
    <row r="46" spans="2:11" x14ac:dyDescent="0.25">
      <c r="B46" s="2" t="s">
        <v>32</v>
      </c>
      <c r="C46" s="2" t="s">
        <v>41</v>
      </c>
      <c r="D46" s="7">
        <v>0</v>
      </c>
      <c r="E46" s="7">
        <v>0</v>
      </c>
      <c r="F46" s="7">
        <v>0.02</v>
      </c>
      <c r="G46" s="7">
        <v>0.04</v>
      </c>
      <c r="H46" s="7">
        <v>0.1</v>
      </c>
      <c r="I46" s="7">
        <v>0.12</v>
      </c>
      <c r="J46" s="7">
        <v>0.18</v>
      </c>
      <c r="K46" s="2" t="s">
        <v>39</v>
      </c>
    </row>
    <row r="47" spans="2:11" x14ac:dyDescent="0.25">
      <c r="B47" s="2" t="s">
        <v>32</v>
      </c>
      <c r="C47" s="2" t="s">
        <v>46</v>
      </c>
      <c r="D47" s="7">
        <v>0</v>
      </c>
      <c r="E47" s="7">
        <v>0</v>
      </c>
      <c r="F47" s="7">
        <v>0.01</v>
      </c>
      <c r="G47" s="7">
        <v>0.05</v>
      </c>
      <c r="H47" s="7">
        <v>0.08</v>
      </c>
      <c r="I47" s="7">
        <v>0.14000000000000001</v>
      </c>
      <c r="J47" s="7">
        <v>0.19</v>
      </c>
      <c r="K47" s="2" t="s">
        <v>39</v>
      </c>
    </row>
    <row r="48" spans="2:11" x14ac:dyDescent="0.25">
      <c r="C48" s="3" t="s">
        <v>42</v>
      </c>
      <c r="D48" s="8">
        <f t="shared" ref="D48:J48" si="4">SUM(D42:D47)</f>
        <v>1</v>
      </c>
      <c r="E48" s="8">
        <f t="shared" si="4"/>
        <v>1</v>
      </c>
      <c r="F48" s="8">
        <f t="shared" si="4"/>
        <v>1</v>
      </c>
      <c r="G48" s="8">
        <f t="shared" si="4"/>
        <v>1.0000000000000002</v>
      </c>
      <c r="H48" s="8">
        <f t="shared" si="4"/>
        <v>0.99999999999999989</v>
      </c>
      <c r="I48" s="8">
        <f t="shared" si="4"/>
        <v>1</v>
      </c>
      <c r="J48" s="8">
        <f t="shared" si="4"/>
        <v>1</v>
      </c>
    </row>
    <row r="50" spans="2:7" x14ac:dyDescent="0.25">
      <c r="B50" s="4" t="s">
        <v>47</v>
      </c>
    </row>
    <row r="51" spans="2:7" x14ac:dyDescent="0.25">
      <c r="B51" s="5" t="s">
        <v>38</v>
      </c>
      <c r="C51" s="5" t="s">
        <v>40</v>
      </c>
      <c r="D51" s="5" t="s">
        <v>41</v>
      </c>
      <c r="E51" s="5" t="s">
        <v>43</v>
      </c>
      <c r="F51" s="5" t="s">
        <v>44</v>
      </c>
      <c r="G51" s="5" t="s">
        <v>45</v>
      </c>
    </row>
    <row r="52" spans="2:7" x14ac:dyDescent="0.25">
      <c r="B52" s="9">
        <v>74.099999999999994</v>
      </c>
      <c r="C52" s="9">
        <v>63.1</v>
      </c>
      <c r="D52" s="9">
        <v>56.1</v>
      </c>
      <c r="E52" s="9">
        <v>69.3</v>
      </c>
      <c r="F52" s="9">
        <v>77.400000000000006</v>
      </c>
      <c r="G52" s="9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6"/>
  <sheetViews>
    <sheetView zoomScaleNormal="100" workbookViewId="0">
      <selection activeCell="D27" sqref="D27"/>
    </sheetView>
  </sheetViews>
  <sheetFormatPr defaultColWidth="8.7109375" defaultRowHeight="15" x14ac:dyDescent="0.25"/>
  <cols>
    <col min="2" max="2" width="8" customWidth="1"/>
    <col min="3" max="3" width="18" customWidth="1"/>
    <col min="4" max="4" width="48" customWidth="1"/>
    <col min="5" max="5" width="7" customWidth="1"/>
    <col min="6" max="9" width="10" customWidth="1"/>
  </cols>
  <sheetData>
    <row r="2" spans="2:9" ht="15.75" x14ac:dyDescent="0.25">
      <c r="B2" s="1" t="s">
        <v>48</v>
      </c>
    </row>
    <row r="4" spans="2:9" x14ac:dyDescent="0.25">
      <c r="B4" s="14" t="s">
        <v>49</v>
      </c>
    </row>
    <row r="5" spans="2:9" x14ac:dyDescent="0.25"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55</v>
      </c>
      <c r="H5" s="5" t="s">
        <v>56</v>
      </c>
      <c r="I5" s="5" t="s">
        <v>57</v>
      </c>
    </row>
    <row r="6" spans="2:9" x14ac:dyDescent="0.25">
      <c r="B6" s="10" t="s">
        <v>58</v>
      </c>
      <c r="C6" s="10" t="s">
        <v>59</v>
      </c>
      <c r="D6" s="10" t="s">
        <v>60</v>
      </c>
      <c r="E6" s="10" t="s">
        <v>53</v>
      </c>
      <c r="F6" s="10" t="s">
        <v>61</v>
      </c>
      <c r="G6" s="10" t="s">
        <v>62</v>
      </c>
      <c r="H6" s="10" t="s">
        <v>63</v>
      </c>
      <c r="I6" s="10" t="s">
        <v>64</v>
      </c>
    </row>
    <row r="7" spans="2:9" x14ac:dyDescent="0.25">
      <c r="B7" s="2" t="s">
        <v>65</v>
      </c>
      <c r="C7" s="2" t="s">
        <v>66</v>
      </c>
      <c r="D7" s="2" t="s">
        <v>67</v>
      </c>
      <c r="E7" s="2" t="s">
        <v>68</v>
      </c>
      <c r="F7" s="2"/>
      <c r="G7" s="2" t="s">
        <v>69</v>
      </c>
      <c r="H7" s="2"/>
      <c r="I7" s="2"/>
    </row>
    <row r="8" spans="2:9" x14ac:dyDescent="0.25">
      <c r="B8" s="2" t="s">
        <v>65</v>
      </c>
      <c r="C8" s="2" t="s">
        <v>70</v>
      </c>
      <c r="D8" s="2" t="s">
        <v>71</v>
      </c>
      <c r="E8" s="2" t="s">
        <v>68</v>
      </c>
      <c r="F8" s="2"/>
      <c r="G8" s="2"/>
      <c r="H8" s="2"/>
      <c r="I8" s="2"/>
    </row>
    <row r="9" spans="2:9" x14ac:dyDescent="0.25">
      <c r="B9" s="2" t="s">
        <v>65</v>
      </c>
      <c r="C9" s="2" t="s">
        <v>72</v>
      </c>
      <c r="D9" s="2" t="s">
        <v>73</v>
      </c>
      <c r="E9" s="2" t="s">
        <v>68</v>
      </c>
      <c r="F9" s="2"/>
      <c r="G9" s="2" t="s">
        <v>69</v>
      </c>
      <c r="H9" s="2"/>
      <c r="I9" s="2"/>
    </row>
    <row r="10" spans="2:9" x14ac:dyDescent="0.25">
      <c r="B10" s="2" t="s">
        <v>65</v>
      </c>
      <c r="C10" s="2" t="s">
        <v>74</v>
      </c>
      <c r="D10" s="2" t="s">
        <v>75</v>
      </c>
      <c r="E10" s="2" t="s">
        <v>68</v>
      </c>
      <c r="F10" s="2"/>
      <c r="G10" s="2"/>
      <c r="H10" s="2"/>
      <c r="I10" s="2"/>
    </row>
    <row r="11" spans="2:9" x14ac:dyDescent="0.25">
      <c r="B11" s="2" t="s">
        <v>65</v>
      </c>
      <c r="C11" s="2" t="s">
        <v>76</v>
      </c>
      <c r="D11" s="2" t="s">
        <v>77</v>
      </c>
      <c r="E11" s="2" t="s">
        <v>68</v>
      </c>
      <c r="F11" s="2"/>
      <c r="G11" s="2" t="s">
        <v>69</v>
      </c>
      <c r="H11" s="2"/>
      <c r="I11" s="2"/>
    </row>
    <row r="12" spans="2:9" x14ac:dyDescent="0.25">
      <c r="B12" s="2" t="s">
        <v>65</v>
      </c>
      <c r="C12" s="2" t="s">
        <v>78</v>
      </c>
      <c r="D12" s="2" t="s">
        <v>79</v>
      </c>
      <c r="E12" s="2" t="s">
        <v>68</v>
      </c>
      <c r="F12" s="2"/>
      <c r="G12" s="2"/>
      <c r="H12" s="2"/>
      <c r="I12" s="2"/>
    </row>
    <row r="13" spans="2:9" x14ac:dyDescent="0.25">
      <c r="B13" s="2" t="s">
        <v>65</v>
      </c>
      <c r="C13" s="2" t="s">
        <v>80</v>
      </c>
      <c r="D13" s="2" t="s">
        <v>81</v>
      </c>
      <c r="E13" s="2" t="s">
        <v>68</v>
      </c>
      <c r="F13" s="2"/>
      <c r="G13" s="2" t="s">
        <v>69</v>
      </c>
      <c r="H13" s="2"/>
      <c r="I13" s="2"/>
    </row>
    <row r="14" spans="2:9" x14ac:dyDescent="0.25">
      <c r="B14" s="2" t="s">
        <v>65</v>
      </c>
      <c r="C14" s="2" t="s">
        <v>82</v>
      </c>
      <c r="D14" s="2" t="s">
        <v>83</v>
      </c>
      <c r="E14" s="2" t="s">
        <v>68</v>
      </c>
      <c r="F14" s="2"/>
      <c r="G14" s="2"/>
      <c r="H14" s="2"/>
      <c r="I14" s="2"/>
    </row>
    <row r="15" spans="2:9" x14ac:dyDescent="0.25">
      <c r="B15" s="2" t="s">
        <v>65</v>
      </c>
      <c r="C15" s="2" t="s">
        <v>84</v>
      </c>
      <c r="D15" s="2" t="s">
        <v>85</v>
      </c>
      <c r="E15" s="2" t="s">
        <v>68</v>
      </c>
      <c r="F15" s="2"/>
      <c r="G15" s="2" t="s">
        <v>69</v>
      </c>
      <c r="H15" s="2"/>
      <c r="I15" s="2"/>
    </row>
    <row r="16" spans="2:9" x14ac:dyDescent="0.25">
      <c r="B16" s="2" t="s">
        <v>65</v>
      </c>
      <c r="C16" s="2" t="s">
        <v>86</v>
      </c>
      <c r="D16" s="2" t="s">
        <v>87</v>
      </c>
      <c r="E16" s="2" t="s">
        <v>68</v>
      </c>
      <c r="F16" s="2"/>
      <c r="G16" s="2"/>
      <c r="H16" s="2"/>
      <c r="I16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6"/>
  <sheetViews>
    <sheetView zoomScaleNormal="100" workbookViewId="0">
      <selection activeCell="E25" sqref="E25"/>
    </sheetView>
  </sheetViews>
  <sheetFormatPr defaultColWidth="8.7109375" defaultRowHeight="15" x14ac:dyDescent="0.25"/>
  <cols>
    <col min="2" max="2" width="7" customWidth="1"/>
    <col min="3" max="3" width="8" customWidth="1"/>
    <col min="4" max="4" width="18" customWidth="1"/>
    <col min="5" max="5" width="40" customWidth="1"/>
    <col min="6" max="7" width="7" customWidth="1"/>
    <col min="8" max="10" width="10" customWidth="1"/>
  </cols>
  <sheetData>
    <row r="2" spans="2:10" ht="15.75" x14ac:dyDescent="0.25">
      <c r="B2" s="1" t="s">
        <v>88</v>
      </c>
    </row>
    <row r="4" spans="2:10" x14ac:dyDescent="0.25">
      <c r="B4" s="14" t="s">
        <v>89</v>
      </c>
    </row>
    <row r="5" spans="2:10" x14ac:dyDescent="0.25">
      <c r="B5" s="5" t="s">
        <v>90</v>
      </c>
      <c r="C5" s="5" t="s">
        <v>91</v>
      </c>
      <c r="D5" s="5" t="s">
        <v>92</v>
      </c>
      <c r="E5" s="5" t="s">
        <v>93</v>
      </c>
      <c r="F5" s="5" t="s">
        <v>94</v>
      </c>
      <c r="G5" s="5" t="s">
        <v>95</v>
      </c>
      <c r="H5" s="5" t="s">
        <v>96</v>
      </c>
      <c r="I5" s="5" t="s">
        <v>97</v>
      </c>
      <c r="J5" s="5" t="s">
        <v>98</v>
      </c>
    </row>
    <row r="6" spans="2:10" x14ac:dyDescent="0.25">
      <c r="B6" s="10" t="s">
        <v>99</v>
      </c>
      <c r="C6" s="10" t="s">
        <v>100</v>
      </c>
      <c r="D6" s="10" t="s">
        <v>101</v>
      </c>
      <c r="E6" s="10" t="s">
        <v>102</v>
      </c>
      <c r="F6" s="10" t="s">
        <v>103</v>
      </c>
      <c r="G6" s="10" t="s">
        <v>104</v>
      </c>
      <c r="H6" s="10" t="s">
        <v>62</v>
      </c>
      <c r="I6" s="10" t="s">
        <v>105</v>
      </c>
      <c r="J6" s="10" t="s">
        <v>106</v>
      </c>
    </row>
    <row r="7" spans="2:10" x14ac:dyDescent="0.25">
      <c r="B7" s="2" t="s">
        <v>107</v>
      </c>
      <c r="C7" s="2" t="s">
        <v>108</v>
      </c>
      <c r="D7" s="2" t="s">
        <v>109</v>
      </c>
      <c r="E7" s="2" t="s">
        <v>110</v>
      </c>
      <c r="F7" s="2" t="s">
        <v>68</v>
      </c>
      <c r="G7" s="2" t="s">
        <v>111</v>
      </c>
      <c r="H7" s="2" t="s">
        <v>69</v>
      </c>
      <c r="I7" s="2"/>
      <c r="J7" s="2"/>
    </row>
    <row r="8" spans="2:10" x14ac:dyDescent="0.25">
      <c r="B8" s="2" t="s">
        <v>107</v>
      </c>
      <c r="C8" s="2" t="s">
        <v>108</v>
      </c>
      <c r="D8" s="2" t="s">
        <v>112</v>
      </c>
      <c r="E8" s="2" t="s">
        <v>113</v>
      </c>
      <c r="F8" s="2" t="s">
        <v>68</v>
      </c>
      <c r="G8" s="2" t="s">
        <v>111</v>
      </c>
      <c r="H8" s="2" t="s">
        <v>114</v>
      </c>
      <c r="I8" s="2"/>
      <c r="J8" s="2"/>
    </row>
    <row r="9" spans="2:10" x14ac:dyDescent="0.25">
      <c r="B9" s="2" t="s">
        <v>107</v>
      </c>
      <c r="C9" s="2" t="s">
        <v>108</v>
      </c>
      <c r="D9" s="2" t="s">
        <v>115</v>
      </c>
      <c r="E9" s="2" t="s">
        <v>116</v>
      </c>
      <c r="F9" s="2" t="s">
        <v>68</v>
      </c>
      <c r="G9" s="2" t="s">
        <v>111</v>
      </c>
      <c r="H9" s="2" t="s">
        <v>69</v>
      </c>
      <c r="I9" s="2"/>
      <c r="J9" s="2"/>
    </row>
    <row r="10" spans="2:10" x14ac:dyDescent="0.25">
      <c r="B10" s="2" t="s">
        <v>107</v>
      </c>
      <c r="C10" s="2" t="s">
        <v>108</v>
      </c>
      <c r="D10" s="2" t="s">
        <v>117</v>
      </c>
      <c r="E10" s="2" t="s">
        <v>118</v>
      </c>
      <c r="F10" s="2" t="s">
        <v>68</v>
      </c>
      <c r="G10" s="2" t="s">
        <v>111</v>
      </c>
      <c r="H10" s="2" t="s">
        <v>114</v>
      </c>
      <c r="I10" s="2"/>
      <c r="J10" s="2"/>
    </row>
    <row r="11" spans="2:10" x14ac:dyDescent="0.25">
      <c r="B11" s="2" t="s">
        <v>107</v>
      </c>
      <c r="C11" s="2" t="s">
        <v>108</v>
      </c>
      <c r="D11" s="2" t="s">
        <v>119</v>
      </c>
      <c r="E11" s="2" t="s">
        <v>120</v>
      </c>
      <c r="F11" s="2" t="s">
        <v>68</v>
      </c>
      <c r="G11" s="2" t="s">
        <v>111</v>
      </c>
      <c r="H11" s="2" t="s">
        <v>69</v>
      </c>
      <c r="I11" s="2"/>
      <c r="J11" s="2"/>
    </row>
    <row r="12" spans="2:10" x14ac:dyDescent="0.25">
      <c r="B12" s="2" t="s">
        <v>107</v>
      </c>
      <c r="C12" s="2" t="s">
        <v>108</v>
      </c>
      <c r="D12" s="2" t="s">
        <v>121</v>
      </c>
      <c r="E12" s="2" t="s">
        <v>122</v>
      </c>
      <c r="F12" s="2" t="s">
        <v>68</v>
      </c>
      <c r="G12" s="2" t="s">
        <v>111</v>
      </c>
      <c r="H12" s="2" t="s">
        <v>114</v>
      </c>
      <c r="I12" s="2"/>
      <c r="J12" s="2"/>
    </row>
    <row r="13" spans="2:10" x14ac:dyDescent="0.25">
      <c r="B13" s="2" t="s">
        <v>107</v>
      </c>
      <c r="C13" s="2" t="s">
        <v>108</v>
      </c>
      <c r="D13" s="2" t="s">
        <v>123</v>
      </c>
      <c r="E13" s="2" t="s">
        <v>124</v>
      </c>
      <c r="F13" s="2" t="s">
        <v>68</v>
      </c>
      <c r="G13" s="2" t="s">
        <v>111</v>
      </c>
      <c r="H13" s="2" t="s">
        <v>69</v>
      </c>
      <c r="I13" s="2"/>
      <c r="J13" s="2"/>
    </row>
    <row r="14" spans="2:10" x14ac:dyDescent="0.25">
      <c r="B14" s="2" t="s">
        <v>107</v>
      </c>
      <c r="C14" s="2" t="s">
        <v>108</v>
      </c>
      <c r="D14" s="2" t="s">
        <v>125</v>
      </c>
      <c r="E14" s="2" t="s">
        <v>126</v>
      </c>
      <c r="F14" s="2" t="s">
        <v>68</v>
      </c>
      <c r="G14" s="2" t="s">
        <v>111</v>
      </c>
      <c r="H14" s="2" t="s">
        <v>114</v>
      </c>
      <c r="I14" s="2"/>
      <c r="J14" s="2"/>
    </row>
    <row r="15" spans="2:10" x14ac:dyDescent="0.25">
      <c r="B15" s="2" t="s">
        <v>107</v>
      </c>
      <c r="C15" s="2" t="s">
        <v>108</v>
      </c>
      <c r="D15" s="2" t="s">
        <v>127</v>
      </c>
      <c r="E15" s="2" t="s">
        <v>128</v>
      </c>
      <c r="F15" s="2" t="s">
        <v>68</v>
      </c>
      <c r="G15" s="2" t="s">
        <v>111</v>
      </c>
      <c r="H15" s="2" t="s">
        <v>69</v>
      </c>
      <c r="I15" s="2"/>
      <c r="J15" s="2"/>
    </row>
    <row r="16" spans="2:10" x14ac:dyDescent="0.25">
      <c r="B16" s="2" t="s">
        <v>107</v>
      </c>
      <c r="C16" s="2" t="s">
        <v>108</v>
      </c>
      <c r="D16" s="2" t="s">
        <v>129</v>
      </c>
      <c r="E16" s="2" t="s">
        <v>130</v>
      </c>
      <c r="F16" s="2" t="s">
        <v>68</v>
      </c>
      <c r="G16" s="2" t="s">
        <v>111</v>
      </c>
      <c r="H16" s="2" t="s">
        <v>114</v>
      </c>
      <c r="I16" s="2"/>
      <c r="J16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1"/>
  <sheetViews>
    <sheetView zoomScaleNormal="100" workbookViewId="0">
      <selection activeCell="B4" sqref="B4"/>
    </sheetView>
  </sheetViews>
  <sheetFormatPr defaultColWidth="8.7109375" defaultRowHeight="15" x14ac:dyDescent="0.25"/>
  <cols>
    <col min="2" max="2" width="16" customWidth="1"/>
    <col min="3" max="3" width="36" customWidth="1"/>
    <col min="4" max="4" width="16" customWidth="1"/>
    <col min="5" max="5" width="15" customWidth="1"/>
    <col min="6" max="12" width="12" customWidth="1"/>
    <col min="13" max="13" width="6" customWidth="1"/>
    <col min="14" max="14" width="9" customWidth="1"/>
  </cols>
  <sheetData>
    <row r="2" spans="2:14" ht="15.75" x14ac:dyDescent="0.25">
      <c r="B2" s="1" t="s">
        <v>131</v>
      </c>
    </row>
    <row r="3" spans="2:14" x14ac:dyDescent="0.25">
      <c r="B3" s="3" t="s">
        <v>132</v>
      </c>
    </row>
    <row r="4" spans="2:14" x14ac:dyDescent="0.25">
      <c r="B4" s="14" t="s">
        <v>133</v>
      </c>
    </row>
    <row r="5" spans="2:14" x14ac:dyDescent="0.25">
      <c r="B5" s="5" t="s">
        <v>92</v>
      </c>
      <c r="C5" s="5" t="s">
        <v>134</v>
      </c>
      <c r="D5" s="5" t="s">
        <v>135</v>
      </c>
      <c r="E5" s="5" t="s">
        <v>136</v>
      </c>
      <c r="F5" s="5" t="s">
        <v>137</v>
      </c>
      <c r="G5" s="5" t="s">
        <v>138</v>
      </c>
      <c r="H5" s="5" t="s">
        <v>139</v>
      </c>
      <c r="I5" s="5" t="s">
        <v>140</v>
      </c>
      <c r="J5" s="5" t="s">
        <v>141</v>
      </c>
      <c r="K5" s="5" t="s">
        <v>142</v>
      </c>
      <c r="L5" s="5" t="s">
        <v>143</v>
      </c>
      <c r="M5" s="5" t="s">
        <v>144</v>
      </c>
      <c r="N5" s="5" t="s">
        <v>145</v>
      </c>
    </row>
    <row r="6" spans="2:14" x14ac:dyDescent="0.25">
      <c r="B6" s="10" t="s">
        <v>146</v>
      </c>
      <c r="C6" s="10" t="s">
        <v>102</v>
      </c>
      <c r="D6" s="10" t="s">
        <v>147</v>
      </c>
      <c r="E6" s="10" t="s">
        <v>148</v>
      </c>
      <c r="F6" s="10" t="s">
        <v>149</v>
      </c>
      <c r="G6" s="10" t="s">
        <v>149</v>
      </c>
      <c r="H6" s="10" t="s">
        <v>149</v>
      </c>
      <c r="I6" s="10" t="s">
        <v>149</v>
      </c>
      <c r="J6" s="10" t="s">
        <v>149</v>
      </c>
      <c r="K6" s="10" t="s">
        <v>149</v>
      </c>
      <c r="L6" s="10" t="s">
        <v>149</v>
      </c>
      <c r="M6" s="10" t="s">
        <v>150</v>
      </c>
      <c r="N6" s="10" t="s">
        <v>151</v>
      </c>
    </row>
    <row r="7" spans="2:14" x14ac:dyDescent="0.25">
      <c r="B7" s="2" t="s">
        <v>109</v>
      </c>
      <c r="C7" s="2" t="s">
        <v>110</v>
      </c>
      <c r="D7" s="2" t="s">
        <v>36</v>
      </c>
      <c r="E7" s="2" t="s">
        <v>66</v>
      </c>
      <c r="F7" s="2"/>
      <c r="G7" s="2"/>
      <c r="H7" s="2"/>
      <c r="I7" s="2"/>
      <c r="J7" s="2"/>
      <c r="K7" s="2"/>
      <c r="L7" s="2"/>
      <c r="M7" s="2">
        <v>1</v>
      </c>
      <c r="N7" s="2">
        <v>1</v>
      </c>
    </row>
    <row r="8" spans="2:14" x14ac:dyDescent="0.25">
      <c r="B8" s="2" t="s">
        <v>112</v>
      </c>
      <c r="C8" s="2" t="s">
        <v>113</v>
      </c>
      <c r="D8" s="2" t="s">
        <v>38</v>
      </c>
      <c r="E8" s="2" t="s">
        <v>70</v>
      </c>
      <c r="F8" s="11">
        <f>IFERROR(INPUT!D16/(INPUT!D16+INPUT!D17+INPUT!D18),0)</f>
        <v>0.19141914191419138</v>
      </c>
      <c r="G8" s="11">
        <f>IFERROR(INPUT!E16/(INPUT!E16+INPUT!E17+INPUT!E18),0)</f>
        <v>4.7619047619047616E-2</v>
      </c>
      <c r="H8" s="11">
        <f>IFERROR(INPUT!F16/(INPUT!F16+INPUT!F17+INPUT!F18),0)</f>
        <v>0</v>
      </c>
      <c r="I8" s="11">
        <f>IFERROR(INPUT!G16/(INPUT!G16+INPUT!G17+INPUT!G18),0)</f>
        <v>0</v>
      </c>
      <c r="J8" s="11">
        <f>IFERROR(INPUT!H16/(INPUT!H16+INPUT!H17+INPUT!H18),0)</f>
        <v>0</v>
      </c>
      <c r="K8" s="11">
        <f>IFERROR(INPUT!I16/(INPUT!I16+INPUT!I17+INPUT!I18),0)</f>
        <v>0</v>
      </c>
      <c r="L8" s="11">
        <f>IFERROR(INPUT!J16/(INPUT!J16+INPUT!J17+INPUT!J18),0)</f>
        <v>0</v>
      </c>
      <c r="M8" s="2">
        <v>1</v>
      </c>
      <c r="N8" s="2">
        <v>1</v>
      </c>
    </row>
    <row r="9" spans="2:14" x14ac:dyDescent="0.25">
      <c r="B9" s="2"/>
      <c r="C9" s="2"/>
      <c r="D9" s="2" t="s">
        <v>40</v>
      </c>
      <c r="E9" s="2" t="s">
        <v>70</v>
      </c>
      <c r="F9" s="11">
        <f>IFERROR(INPUT!D17/(INPUT!D16+INPUT!D17+INPUT!D18),0)</f>
        <v>0.59273927392739301</v>
      </c>
      <c r="G9" s="11">
        <f>IFERROR(INPUT!E17/(INPUT!E16+INPUT!E17+INPUT!E18),0)</f>
        <v>0.54761904761904756</v>
      </c>
      <c r="H9" s="11">
        <f>IFERROR(INPUT!F17/(INPUT!F16+INPUT!F17+INPUT!F18),0)</f>
        <v>0.52631578947368418</v>
      </c>
      <c r="I9" s="11">
        <f>IFERROR(INPUT!G17/(INPUT!G16+INPUT!G17+INPUT!G18),0)</f>
        <v>0.4705882352941177</v>
      </c>
      <c r="J9" s="11">
        <f>IFERROR(INPUT!H17/(INPUT!H16+INPUT!H17+INPUT!H18),0)</f>
        <v>0.4</v>
      </c>
      <c r="K9" s="11">
        <f>IFERROR(INPUT!I17/(INPUT!I16+INPUT!I17+INPUT!I18),0)</f>
        <v>0.19230769230769232</v>
      </c>
      <c r="L9" s="11">
        <f>IFERROR(INPUT!J17/(INPUT!J16+INPUT!J17+INPUT!J18),0)</f>
        <v>0</v>
      </c>
      <c r="M9" s="2">
        <v>1</v>
      </c>
      <c r="N9" s="2">
        <v>1</v>
      </c>
    </row>
    <row r="10" spans="2:14" x14ac:dyDescent="0.25">
      <c r="B10" s="2"/>
      <c r="C10" s="2"/>
      <c r="D10" s="2" t="s">
        <v>41</v>
      </c>
      <c r="E10" s="2" t="s">
        <v>70</v>
      </c>
      <c r="F10" s="11">
        <f>IFERROR(INPUT!D18/(INPUT!D16+INPUT!D17+INPUT!D18),0)</f>
        <v>0.21584158415841562</v>
      </c>
      <c r="G10" s="11">
        <f>IFERROR(INPUT!E18/(INPUT!E16+INPUT!E17+INPUT!E18),0)</f>
        <v>0.40476190476190477</v>
      </c>
      <c r="H10" s="11">
        <f>IFERROR(INPUT!F18/(INPUT!F16+INPUT!F17+INPUT!F18),0)</f>
        <v>0.47368421052631576</v>
      </c>
      <c r="I10" s="11">
        <f>IFERROR(INPUT!G18/(INPUT!G16+INPUT!G17+INPUT!G18),0)</f>
        <v>0.52941176470588236</v>
      </c>
      <c r="J10" s="11">
        <f>IFERROR(INPUT!H18/(INPUT!H16+INPUT!H17+INPUT!H18),0)</f>
        <v>0.6</v>
      </c>
      <c r="K10" s="11">
        <f>IFERROR(INPUT!I18/(INPUT!I16+INPUT!I17+INPUT!I18),0)</f>
        <v>0.8076923076923076</v>
      </c>
      <c r="L10" s="11">
        <f>IFERROR(INPUT!J18/(INPUT!J16+INPUT!J17+INPUT!J18),0)</f>
        <v>1</v>
      </c>
      <c r="M10" s="2">
        <v>1</v>
      </c>
      <c r="N10" s="2">
        <v>1</v>
      </c>
    </row>
    <row r="11" spans="2:14" x14ac:dyDescent="0.25">
      <c r="B11" s="2" t="s">
        <v>115</v>
      </c>
      <c r="C11" s="2" t="s">
        <v>116</v>
      </c>
      <c r="D11" s="2" t="s">
        <v>36</v>
      </c>
      <c r="E11" s="2" t="s">
        <v>72</v>
      </c>
      <c r="F11" s="2"/>
      <c r="G11" s="2"/>
      <c r="H11" s="2"/>
      <c r="I11" s="2"/>
      <c r="J11" s="2"/>
      <c r="K11" s="2"/>
      <c r="L11" s="2"/>
      <c r="M11" s="2">
        <v>1</v>
      </c>
      <c r="N11" s="2">
        <v>1</v>
      </c>
    </row>
    <row r="12" spans="2:14" x14ac:dyDescent="0.25">
      <c r="B12" s="2" t="s">
        <v>117</v>
      </c>
      <c r="C12" s="2" t="s">
        <v>118</v>
      </c>
      <c r="D12" s="2" t="s">
        <v>38</v>
      </c>
      <c r="E12" s="2" t="s">
        <v>74</v>
      </c>
      <c r="F12" s="11">
        <f>IFERROR(INPUT!D22/(INPUT!D22+INPUT!D23+INPUT!D24+INPUT!D25+INPUT!D26+INPUT!D27),0)</f>
        <v>4.7896046420848146E-2</v>
      </c>
      <c r="G12" s="11">
        <f>IFERROR(INPUT!E22/(INPUT!E22+INPUT!E23+INPUT!E24+INPUT!E25+INPUT!E26+INPUT!E27),0)</f>
        <v>3.3898305084745763E-2</v>
      </c>
      <c r="H12" s="11">
        <f>IFERROR(INPUT!F22/(INPUT!F22+INPUT!F23+INPUT!F24+INPUT!F25+INPUT!F26+INPUT!F27),0)</f>
        <v>0</v>
      </c>
      <c r="I12" s="11">
        <f>IFERROR(INPUT!G22/(INPUT!G22+INPUT!G23+INPUT!G24+INPUT!G25+INPUT!G26+INPUT!G27),0)</f>
        <v>0</v>
      </c>
      <c r="J12" s="11">
        <f>IFERROR(INPUT!H22/(INPUT!H22+INPUT!H23+INPUT!H24+INPUT!H25+INPUT!H26+INPUT!H27),0)</f>
        <v>0</v>
      </c>
      <c r="K12" s="11">
        <f>IFERROR(INPUT!I22/(INPUT!I22+INPUT!I23+INPUT!I24+INPUT!I25+INPUT!I26+INPUT!I27),0)</f>
        <v>0</v>
      </c>
      <c r="L12" s="11">
        <f>IFERROR(INPUT!J22/(INPUT!J22+INPUT!J23+INPUT!J24+INPUT!J25+INPUT!J26+INPUT!J27),0)</f>
        <v>0</v>
      </c>
      <c r="M12" s="2">
        <v>1</v>
      </c>
      <c r="N12" s="2">
        <v>1</v>
      </c>
    </row>
    <row r="13" spans="2:14" x14ac:dyDescent="0.25">
      <c r="B13" s="2"/>
      <c r="C13" s="2"/>
      <c r="D13" s="2" t="s">
        <v>43</v>
      </c>
      <c r="E13" s="2" t="s">
        <v>74</v>
      </c>
      <c r="F13" s="11">
        <f>IFERROR(INPUT!D23/(INPUT!D22+INPUT!D23+INPUT!D24+INPUT!D25+INPUT!D26+INPUT!D27),0)</f>
        <v>0.15475600944898393</v>
      </c>
      <c r="G13" s="11">
        <f>IFERROR(INPUT!E23/(INPUT!E22+INPUT!E23+INPUT!E24+INPUT!E25+INPUT!E26+INPUT!E27),0)</f>
        <v>0.15254237288135594</v>
      </c>
      <c r="H13" s="11">
        <f>IFERROR(INPUT!F23/(INPUT!F22+INPUT!F23+INPUT!F24+INPUT!F25+INPUT!F26+INPUT!F27),0)</f>
        <v>0.1875</v>
      </c>
      <c r="I13" s="11">
        <f>IFERROR(INPUT!G23/(INPUT!G22+INPUT!G23+INPUT!G24+INPUT!G25+INPUT!G26+INPUT!G27),0)</f>
        <v>0</v>
      </c>
      <c r="J13" s="11">
        <f>IFERROR(INPUT!H23/(INPUT!H22+INPUT!H23+INPUT!H24+INPUT!H25+INPUT!H26+INPUT!H27),0)</f>
        <v>0</v>
      </c>
      <c r="K13" s="11">
        <f>IFERROR(INPUT!I23/(INPUT!I22+INPUT!I23+INPUT!I24+INPUT!I25+INPUT!I26+INPUT!I27),0)</f>
        <v>0</v>
      </c>
      <c r="L13" s="11">
        <f>IFERROR(INPUT!J23/(INPUT!J22+INPUT!J23+INPUT!J24+INPUT!J25+INPUT!J26+INPUT!J27),0)</f>
        <v>0</v>
      </c>
      <c r="M13" s="2">
        <v>1</v>
      </c>
      <c r="N13" s="2">
        <v>1</v>
      </c>
    </row>
    <row r="14" spans="2:14" x14ac:dyDescent="0.25">
      <c r="B14" s="2"/>
      <c r="C14" s="2"/>
      <c r="D14" s="2" t="s">
        <v>40</v>
      </c>
      <c r="E14" s="2" t="s">
        <v>74</v>
      </c>
      <c r="F14" s="11">
        <f>IFERROR(INPUT!D24/(INPUT!D22+INPUT!D23+INPUT!D24+INPUT!D25+INPUT!D26+INPUT!D27),0)</f>
        <v>0.15523846503009348</v>
      </c>
      <c r="G14" s="11">
        <f>IFERROR(INPUT!E24/(INPUT!E22+INPUT!E23+INPUT!E24+INPUT!E25+INPUT!E26+INPUT!E27),0)</f>
        <v>0.20338983050847459</v>
      </c>
      <c r="H14" s="11">
        <f>IFERROR(INPUT!F24/(INPUT!F22+INPUT!F23+INPUT!F24+INPUT!F25+INPUT!F26+INPUT!F27),0)</f>
        <v>0.20833333333333334</v>
      </c>
      <c r="I14" s="11">
        <f>IFERROR(INPUT!G24/(INPUT!G22+INPUT!G23+INPUT!G24+INPUT!G25+INPUT!G26+INPUT!G27),0)</f>
        <v>0.21052631578947367</v>
      </c>
      <c r="J14" s="11">
        <f>IFERROR(INPUT!H24/(INPUT!H22+INPUT!H23+INPUT!H24+INPUT!H25+INPUT!H26+INPUT!H27),0)</f>
        <v>0</v>
      </c>
      <c r="K14" s="11">
        <f>IFERROR(INPUT!I24/(INPUT!I22+INPUT!I23+INPUT!I24+INPUT!I25+INPUT!I26+INPUT!I27),0)</f>
        <v>0</v>
      </c>
      <c r="L14" s="11">
        <f>IFERROR(INPUT!J24/(INPUT!J22+INPUT!J23+INPUT!J24+INPUT!J25+INPUT!J26+INPUT!J27),0)</f>
        <v>0</v>
      </c>
      <c r="M14" s="2">
        <v>1</v>
      </c>
      <c r="N14" s="2">
        <v>1</v>
      </c>
    </row>
    <row r="15" spans="2:14" x14ac:dyDescent="0.25">
      <c r="B15" s="2"/>
      <c r="C15" s="2"/>
      <c r="D15" s="2" t="s">
        <v>44</v>
      </c>
      <c r="E15" s="2" t="s">
        <v>74</v>
      </c>
      <c r="F15" s="11">
        <f>IFERROR(INPUT!D25/(INPUT!D22+INPUT!D23+INPUT!D24+INPUT!D25+INPUT!D26+INPUT!D27),0)</f>
        <v>0.18489640894214018</v>
      </c>
      <c r="G15" s="11">
        <f>IFERROR(INPUT!E25/(INPUT!E22+INPUT!E23+INPUT!E24+INPUT!E25+INPUT!E26+INPUT!E27),0)</f>
        <v>8.4745762711864417E-2</v>
      </c>
      <c r="H15" s="11">
        <f>IFERROR(INPUT!F25/(INPUT!F22+INPUT!F23+INPUT!F24+INPUT!F25+INPUT!F26+INPUT!F27),0)</f>
        <v>0</v>
      </c>
      <c r="I15" s="11">
        <f>IFERROR(INPUT!G25/(INPUT!G22+INPUT!G23+INPUT!G24+INPUT!G25+INPUT!G26+INPUT!G27),0)</f>
        <v>0</v>
      </c>
      <c r="J15" s="11">
        <f>IFERROR(INPUT!H25/(INPUT!H22+INPUT!H23+INPUT!H24+INPUT!H25+INPUT!H26+INPUT!H27),0)</f>
        <v>0</v>
      </c>
      <c r="K15" s="11">
        <f>IFERROR(INPUT!I25/(INPUT!I22+INPUT!I23+INPUT!I24+INPUT!I25+INPUT!I26+INPUT!I27),0)</f>
        <v>0</v>
      </c>
      <c r="L15" s="11">
        <f>IFERROR(INPUT!J25/(INPUT!J22+INPUT!J23+INPUT!J24+INPUT!J25+INPUT!J26+INPUT!J27),0)</f>
        <v>0</v>
      </c>
      <c r="M15" s="2">
        <v>1</v>
      </c>
      <c r="N15" s="2">
        <v>1</v>
      </c>
    </row>
    <row r="16" spans="2:14" x14ac:dyDescent="0.25">
      <c r="B16" s="2"/>
      <c r="C16" s="2"/>
      <c r="D16" s="2" t="s">
        <v>41</v>
      </c>
      <c r="E16" s="2" t="s">
        <v>74</v>
      </c>
      <c r="F16" s="11">
        <f>IFERROR(INPUT!D26/(INPUT!D22+INPUT!D23+INPUT!D24+INPUT!D25+INPUT!D26+INPUT!D27),0)</f>
        <v>0</v>
      </c>
      <c r="G16" s="11">
        <f>IFERROR(INPUT!E26/(INPUT!E22+INPUT!E23+INPUT!E24+INPUT!E25+INPUT!E26+INPUT!E27),0)</f>
        <v>5.0847457627118647E-2</v>
      </c>
      <c r="H16" s="11">
        <f>IFERROR(INPUT!F26/(INPUT!F22+INPUT!F23+INPUT!F24+INPUT!F25+INPUT!F26+INPUT!F27),0)</f>
        <v>0.10416666666666667</v>
      </c>
      <c r="I16" s="11">
        <f>IFERROR(INPUT!G26/(INPUT!G22+INPUT!G23+INPUT!G24+INPUT!G25+INPUT!G26+INPUT!G27),0)</f>
        <v>0.26315789473684209</v>
      </c>
      <c r="J16" s="11">
        <f>IFERROR(INPUT!H26/(INPUT!H22+INPUT!H23+INPUT!H24+INPUT!H25+INPUT!H26+INPUT!H27),0)</f>
        <v>0.625</v>
      </c>
      <c r="K16" s="11">
        <f>IFERROR(INPUT!I26/(INPUT!I22+INPUT!I23+INPUT!I24+INPUT!I25+INPUT!I26+INPUT!I27),0)</f>
        <v>0.84</v>
      </c>
      <c r="L16" s="11">
        <f>IFERROR(INPUT!J26/(INPUT!J22+INPUT!J23+INPUT!J24+INPUT!J25+INPUT!J26+INPUT!J27),0)</f>
        <v>1</v>
      </c>
      <c r="M16" s="2">
        <v>1</v>
      </c>
      <c r="N16" s="2">
        <v>1</v>
      </c>
    </row>
    <row r="17" spans="2:14" x14ac:dyDescent="0.25">
      <c r="B17" s="2"/>
      <c r="C17" s="2"/>
      <c r="D17" s="2" t="s">
        <v>45</v>
      </c>
      <c r="E17" s="2" t="s">
        <v>74</v>
      </c>
      <c r="F17" s="11">
        <f>IFERROR(INPUT!D27/(INPUT!D22+INPUT!D23+INPUT!D24+INPUT!D25+INPUT!D26+INPUT!D27),0)</f>
        <v>0.45721307015793416</v>
      </c>
      <c r="G17" s="11">
        <f>IFERROR(INPUT!E27/(INPUT!E22+INPUT!E23+INPUT!E24+INPUT!E25+INPUT!E26+INPUT!E27),0)</f>
        <v>0.47457627118644075</v>
      </c>
      <c r="H17" s="11">
        <f>IFERROR(INPUT!F27/(INPUT!F22+INPUT!F23+INPUT!F24+INPUT!F25+INPUT!F26+INPUT!F27),0)</f>
        <v>0.5</v>
      </c>
      <c r="I17" s="11">
        <f>IFERROR(INPUT!G27/(INPUT!G22+INPUT!G23+INPUT!G24+INPUT!G25+INPUT!G26+INPUT!G27),0)</f>
        <v>0.52631578947368418</v>
      </c>
      <c r="J17" s="11">
        <f>IFERROR(INPUT!H27/(INPUT!H22+INPUT!H23+INPUT!H24+INPUT!H25+INPUT!H26+INPUT!H27),0)</f>
        <v>0.375</v>
      </c>
      <c r="K17" s="11">
        <f>IFERROR(INPUT!I27/(INPUT!I22+INPUT!I23+INPUT!I24+INPUT!I25+INPUT!I26+INPUT!I27),0)</f>
        <v>0.16</v>
      </c>
      <c r="L17" s="11">
        <f>IFERROR(INPUT!J27/(INPUT!J22+INPUT!J23+INPUT!J24+INPUT!J25+INPUT!J26+INPUT!J27),0)</f>
        <v>0</v>
      </c>
      <c r="M17" s="2">
        <v>1</v>
      </c>
      <c r="N17" s="2">
        <v>1</v>
      </c>
    </row>
    <row r="18" spans="2:14" x14ac:dyDescent="0.25">
      <c r="B18" s="2" t="s">
        <v>119</v>
      </c>
      <c r="C18" s="2" t="s">
        <v>120</v>
      </c>
      <c r="D18" s="2" t="s">
        <v>36</v>
      </c>
      <c r="E18" s="2" t="s">
        <v>76</v>
      </c>
      <c r="F18" s="2"/>
      <c r="G18" s="2"/>
      <c r="H18" s="2"/>
      <c r="I18" s="2"/>
      <c r="J18" s="2"/>
      <c r="K18" s="2"/>
      <c r="L18" s="2"/>
      <c r="M18" s="2">
        <v>1</v>
      </c>
      <c r="N18" s="2">
        <v>1</v>
      </c>
    </row>
    <row r="19" spans="2:14" x14ac:dyDescent="0.25">
      <c r="B19" s="2" t="s">
        <v>121</v>
      </c>
      <c r="C19" s="2" t="s">
        <v>122</v>
      </c>
      <c r="D19" s="2" t="s">
        <v>38</v>
      </c>
      <c r="E19" s="2" t="s">
        <v>78</v>
      </c>
      <c r="F19" s="11">
        <f>IFERROR(INPUT!D31/(INPUT!D31+INPUT!D32+INPUT!D33),0)</f>
        <v>0.39285714285714246</v>
      </c>
      <c r="G19" s="11">
        <f>IFERROR(INPUT!E31/(INPUT!E31+INPUT!E32+INPUT!E33),0)</f>
        <v>0.33333333333333331</v>
      </c>
      <c r="H19" s="11">
        <f>IFERROR(INPUT!F31/(INPUT!F31+INPUT!F32+INPUT!F33),0)</f>
        <v>0.18181818181818182</v>
      </c>
      <c r="I19" s="11">
        <f>IFERROR(INPUT!G31/(INPUT!G31+INPUT!G32+INPUT!G33),0)</f>
        <v>0</v>
      </c>
      <c r="J19" s="11">
        <f>IFERROR(INPUT!H31/(INPUT!H31+INPUT!H32+INPUT!H33),0)</f>
        <v>0</v>
      </c>
      <c r="K19" s="11">
        <f>IFERROR(INPUT!I31/(INPUT!I31+INPUT!I32+INPUT!I33),0)</f>
        <v>0</v>
      </c>
      <c r="L19" s="11">
        <f>IFERROR(INPUT!J31/(INPUT!J31+INPUT!J32+INPUT!J33),0)</f>
        <v>0</v>
      </c>
      <c r="M19" s="2">
        <v>1</v>
      </c>
      <c r="N19" s="2">
        <v>1</v>
      </c>
    </row>
    <row r="20" spans="2:14" x14ac:dyDescent="0.25">
      <c r="B20" s="2"/>
      <c r="C20" s="2"/>
      <c r="D20" s="2" t="s">
        <v>40</v>
      </c>
      <c r="E20" s="2" t="s">
        <v>78</v>
      </c>
      <c r="F20" s="11">
        <f>IFERROR(INPUT!D32/(INPUT!D31+INPUT!D32+INPUT!D33),0)</f>
        <v>0.60714285714285765</v>
      </c>
      <c r="G20" s="11">
        <f>IFERROR(INPUT!E32/(INPUT!E31+INPUT!E32+INPUT!E33),0)</f>
        <v>0.59259259259259256</v>
      </c>
      <c r="H20" s="11">
        <f>IFERROR(INPUT!F32/(INPUT!F31+INPUT!F32+INPUT!F33),0)</f>
        <v>0.54545454545454541</v>
      </c>
      <c r="I20" s="11">
        <f>IFERROR(INPUT!G32/(INPUT!G31+INPUT!G32+INPUT!G33),0)</f>
        <v>0.25</v>
      </c>
      <c r="J20" s="11">
        <f>IFERROR(INPUT!H32/(INPUT!H31+INPUT!H32+INPUT!H33),0)</f>
        <v>0</v>
      </c>
      <c r="K20" s="11">
        <f>IFERROR(INPUT!I32/(INPUT!I31+INPUT!I32+INPUT!I33),0)</f>
        <v>0</v>
      </c>
      <c r="L20" s="11">
        <f>IFERROR(INPUT!J32/(INPUT!J31+INPUT!J32+INPUT!J33),0)</f>
        <v>0</v>
      </c>
      <c r="M20" s="2">
        <v>1</v>
      </c>
      <c r="N20" s="2">
        <v>1</v>
      </c>
    </row>
    <row r="21" spans="2:14" x14ac:dyDescent="0.25">
      <c r="B21" s="2"/>
      <c r="C21" s="2"/>
      <c r="D21" s="2" t="s">
        <v>41</v>
      </c>
      <c r="E21" s="2" t="s">
        <v>78</v>
      </c>
      <c r="F21" s="11">
        <f>IFERROR(INPUT!D33/(INPUT!D31+INPUT!D32+INPUT!D33),0)</f>
        <v>0</v>
      </c>
      <c r="G21" s="11">
        <f>IFERROR(INPUT!E33/(INPUT!E31+INPUT!E32+INPUT!E33),0)</f>
        <v>7.407407407407407E-2</v>
      </c>
      <c r="H21" s="11">
        <f>IFERROR(INPUT!F33/(INPUT!F31+INPUT!F32+INPUT!F33),0)</f>
        <v>0.27272727272727271</v>
      </c>
      <c r="I21" s="11">
        <f>IFERROR(INPUT!G33/(INPUT!G31+INPUT!G32+INPUT!G33),0)</f>
        <v>0.75</v>
      </c>
      <c r="J21" s="11">
        <f>IFERROR(INPUT!H33/(INPUT!H31+INPUT!H32+INPUT!H33),0)</f>
        <v>1</v>
      </c>
      <c r="K21" s="11">
        <f>IFERROR(INPUT!I33/(INPUT!I31+INPUT!I32+INPUT!I33),0)</f>
        <v>1</v>
      </c>
      <c r="L21" s="11">
        <f>IFERROR(INPUT!J33/(INPUT!J31+INPUT!J32+INPUT!J33),0)</f>
        <v>1</v>
      </c>
      <c r="M21" s="2">
        <v>1</v>
      </c>
      <c r="N21" s="2">
        <v>1</v>
      </c>
    </row>
    <row r="22" spans="2:14" x14ac:dyDescent="0.25">
      <c r="B22" s="2" t="s">
        <v>123</v>
      </c>
      <c r="C22" s="2" t="s">
        <v>124</v>
      </c>
      <c r="D22" s="2" t="s">
        <v>36</v>
      </c>
      <c r="E22" s="2" t="s">
        <v>80</v>
      </c>
      <c r="F22" s="2"/>
      <c r="G22" s="2"/>
      <c r="H22" s="2"/>
      <c r="I22" s="2"/>
      <c r="J22" s="2"/>
      <c r="K22" s="2"/>
      <c r="L22" s="2"/>
      <c r="M22" s="2">
        <v>1</v>
      </c>
      <c r="N22" s="2">
        <v>1</v>
      </c>
    </row>
    <row r="23" spans="2:14" x14ac:dyDescent="0.25">
      <c r="B23" s="2" t="s">
        <v>125</v>
      </c>
      <c r="C23" s="2" t="s">
        <v>126</v>
      </c>
      <c r="D23" s="2" t="s">
        <v>38</v>
      </c>
      <c r="E23" s="2" t="s">
        <v>82</v>
      </c>
      <c r="F23" s="11">
        <f>IFERROR(INPUT!D36/(INPUT!D36+INPUT!D38+INPUT!D39),0)</f>
        <v>1</v>
      </c>
      <c r="G23" s="11">
        <f>IFERROR(INPUT!E36/(INPUT!E36+INPUT!E38+INPUT!E39),0)</f>
        <v>1</v>
      </c>
      <c r="H23" s="11">
        <f>IFERROR(INPUT!F36/(INPUT!F36+INPUT!F38+INPUT!F39),0)</f>
        <v>0.898876404494382</v>
      </c>
      <c r="I23" s="11">
        <f>IFERROR(INPUT!G36/(INPUT!G36+INPUT!G38+INPUT!G39),0)</f>
        <v>0.7558139534883721</v>
      </c>
      <c r="J23" s="11">
        <f>IFERROR(INPUT!H36/(INPUT!H36+INPUT!H38+INPUT!H39),0)</f>
        <v>0.620253164556962</v>
      </c>
      <c r="K23" s="11">
        <f>IFERROR(INPUT!I36/(INPUT!I36+INPUT!I38+INPUT!I39),0)</f>
        <v>0.49333333333333335</v>
      </c>
      <c r="L23" s="11">
        <f>IFERROR(INPUT!J36/(INPUT!J36+INPUT!J38+INPUT!J39),0)</f>
        <v>0.28571428571428575</v>
      </c>
      <c r="M23" s="2">
        <v>1</v>
      </c>
      <c r="N23" s="2">
        <v>1</v>
      </c>
    </row>
    <row r="24" spans="2:14" x14ac:dyDescent="0.25">
      <c r="B24" s="2"/>
      <c r="C24" s="2"/>
      <c r="D24" s="2" t="s">
        <v>41</v>
      </c>
      <c r="E24" s="2" t="s">
        <v>82</v>
      </c>
      <c r="F24" s="11">
        <f>IFERROR(INPUT!D38/(INPUT!D36+INPUT!D38+INPUT!D39),0)</f>
        <v>0</v>
      </c>
      <c r="G24" s="11">
        <f>IFERROR(INPUT!E38/(INPUT!E36+INPUT!E38+INPUT!E39),0)</f>
        <v>0</v>
      </c>
      <c r="H24" s="11">
        <f>IFERROR(INPUT!F38/(INPUT!F36+INPUT!F38+INPUT!F39),0)</f>
        <v>6.7415730337078636E-2</v>
      </c>
      <c r="I24" s="11">
        <f>IFERROR(INPUT!G38/(INPUT!G36+INPUT!G38+INPUT!G39),0)</f>
        <v>0.13953488372093023</v>
      </c>
      <c r="J24" s="11">
        <f>IFERROR(INPUT!H38/(INPUT!H36+INPUT!H38+INPUT!H39),0)</f>
        <v>0.17721518987341772</v>
      </c>
      <c r="K24" s="11">
        <f>IFERROR(INPUT!I38/(INPUT!I36+INPUT!I38+INPUT!I39),0)</f>
        <v>0.25333333333333335</v>
      </c>
      <c r="L24" s="11">
        <f>IFERROR(INPUT!J38/(INPUT!J36+INPUT!J38+INPUT!J39),0)</f>
        <v>0.35714285714285715</v>
      </c>
      <c r="M24" s="2">
        <v>1</v>
      </c>
      <c r="N24" s="2">
        <v>1</v>
      </c>
    </row>
    <row r="25" spans="2:14" x14ac:dyDescent="0.25">
      <c r="B25" s="2"/>
      <c r="C25" s="2"/>
      <c r="D25" s="2" t="s">
        <v>46</v>
      </c>
      <c r="E25" s="2" t="s">
        <v>82</v>
      </c>
      <c r="F25" s="11">
        <f>IFERROR(INPUT!D39/(INPUT!D36+INPUT!D38+INPUT!D39),0)</f>
        <v>0</v>
      </c>
      <c r="G25" s="11">
        <f>IFERROR(INPUT!E39/(INPUT!E36+INPUT!E38+INPUT!E39),0)</f>
        <v>0</v>
      </c>
      <c r="H25" s="11">
        <f>IFERROR(INPUT!F39/(INPUT!F36+INPUT!F38+INPUT!F39),0)</f>
        <v>3.3707865168539318E-2</v>
      </c>
      <c r="I25" s="11">
        <f>IFERROR(INPUT!G39/(INPUT!G36+INPUT!G38+INPUT!G39),0)</f>
        <v>0.10465116279069767</v>
      </c>
      <c r="J25" s="11">
        <f>IFERROR(INPUT!H39/(INPUT!H36+INPUT!H38+INPUT!H39),0)</f>
        <v>0.20253164556962025</v>
      </c>
      <c r="K25" s="11">
        <f>IFERROR(INPUT!I39/(INPUT!I36+INPUT!I38+INPUT!I39),0)</f>
        <v>0.25333333333333335</v>
      </c>
      <c r="L25" s="11">
        <f>IFERROR(INPUT!J39/(INPUT!J36+INPUT!J38+INPUT!J39),0)</f>
        <v>0.35714285714285715</v>
      </c>
      <c r="M25" s="2">
        <v>1</v>
      </c>
      <c r="N25" s="2">
        <v>1</v>
      </c>
    </row>
    <row r="26" spans="2:14" x14ac:dyDescent="0.25">
      <c r="B26" s="2" t="s">
        <v>127</v>
      </c>
      <c r="C26" s="2" t="s">
        <v>128</v>
      </c>
      <c r="D26" s="2" t="s">
        <v>36</v>
      </c>
      <c r="E26" s="2" t="s">
        <v>84</v>
      </c>
      <c r="F26" s="2"/>
      <c r="G26" s="2"/>
      <c r="H26" s="2"/>
      <c r="I26" s="2"/>
      <c r="J26" s="2"/>
      <c r="K26" s="2"/>
      <c r="L26" s="2"/>
      <c r="M26" s="2">
        <v>1</v>
      </c>
      <c r="N26" s="2">
        <v>1</v>
      </c>
    </row>
    <row r="27" spans="2:14" x14ac:dyDescent="0.25">
      <c r="B27" s="2" t="s">
        <v>129</v>
      </c>
      <c r="C27" s="2" t="s">
        <v>130</v>
      </c>
      <c r="D27" s="2" t="s">
        <v>43</v>
      </c>
      <c r="E27" s="2" t="s">
        <v>86</v>
      </c>
      <c r="F27" s="11">
        <f>IFERROR(INPUT!D42/(INPUT!D42+INPUT!D43+INPUT!D44+INPUT!D46+INPUT!D47),0)</f>
        <v>0.42304747945654603</v>
      </c>
      <c r="G27" s="11">
        <f>IFERROR(INPUT!E42/(INPUT!E42+INPUT!E43+INPUT!E44+INPUT!E46+INPUT!E47),0)</f>
        <v>0.38383838383838387</v>
      </c>
      <c r="H27" s="11">
        <f>IFERROR(INPUT!F42/(INPUT!F42+INPUT!F43+INPUT!F44+INPUT!F46+INPUT!F47),0)</f>
        <v>0.39999999999999997</v>
      </c>
      <c r="I27" s="11">
        <f>IFERROR(INPUT!G42/(INPUT!G42+INPUT!G43+INPUT!G44+INPUT!G46+INPUT!G47),0)</f>
        <v>0.36559139784946232</v>
      </c>
      <c r="J27" s="11">
        <f>IFERROR(INPUT!H42/(INPUT!H42+INPUT!H43+INPUT!H44+INPUT!H46+INPUT!H47),0)</f>
        <v>0.32183908045977017</v>
      </c>
      <c r="K27" s="11">
        <f>IFERROR(INPUT!I42/(INPUT!I42+INPUT!I43+INPUT!I44+INPUT!I46+INPUT!I47),0)</f>
        <v>0.25316455696202533</v>
      </c>
      <c r="L27" s="11">
        <f>IFERROR(INPUT!J42/(INPUT!J42+INPUT!J43+INPUT!J44+INPUT!J46+INPUT!J47),0)</f>
        <v>0.15384615384615385</v>
      </c>
      <c r="M27" s="2">
        <v>1</v>
      </c>
      <c r="N27" s="2">
        <v>1</v>
      </c>
    </row>
    <row r="28" spans="2:14" x14ac:dyDescent="0.25">
      <c r="B28" s="2"/>
      <c r="C28" s="2"/>
      <c r="D28" s="2" t="s">
        <v>38</v>
      </c>
      <c r="E28" s="2" t="s">
        <v>86</v>
      </c>
      <c r="F28" s="11">
        <f>IFERROR(INPUT!D43/(INPUT!D42+INPUT!D43+INPUT!D44+INPUT!D46+INPUT!D47),0)</f>
        <v>0.55748808360175883</v>
      </c>
      <c r="G28" s="11">
        <f>IFERROR(INPUT!E43/(INPUT!E42+INPUT!E43+INPUT!E44+INPUT!E46+INPUT!E47),0)</f>
        <v>0.59595959595959591</v>
      </c>
      <c r="H28" s="11">
        <f>IFERROR(INPUT!F43/(INPUT!F42+INPUT!F43+INPUT!F44+INPUT!F46+INPUT!F47),0)</f>
        <v>0.52631578947368418</v>
      </c>
      <c r="I28" s="11">
        <f>IFERROR(INPUT!G43/(INPUT!G42+INPUT!G43+INPUT!G44+INPUT!G46+INPUT!G47),0)</f>
        <v>0.48387096774193539</v>
      </c>
      <c r="J28" s="11">
        <f>IFERROR(INPUT!H43/(INPUT!H42+INPUT!H43+INPUT!H44+INPUT!H46+INPUT!H47),0)</f>
        <v>0.40229885057471265</v>
      </c>
      <c r="K28" s="11">
        <f>IFERROR(INPUT!I43/(INPUT!I42+INPUT!I43+INPUT!I44+INPUT!I46+INPUT!I47),0)</f>
        <v>0.34177215189873417</v>
      </c>
      <c r="L28" s="11">
        <f>IFERROR(INPUT!J43/(INPUT!J42+INPUT!J43+INPUT!J44+INPUT!J46+INPUT!J47),0)</f>
        <v>0.1846153846153846</v>
      </c>
      <c r="M28" s="2">
        <v>1</v>
      </c>
      <c r="N28" s="2">
        <v>1</v>
      </c>
    </row>
    <row r="29" spans="2:14" x14ac:dyDescent="0.25">
      <c r="B29" s="2"/>
      <c r="C29" s="2"/>
      <c r="D29" s="2" t="s">
        <v>40</v>
      </c>
      <c r="E29" s="2" t="s">
        <v>86</v>
      </c>
      <c r="F29" s="11">
        <f>IFERROR(INPUT!D44/(INPUT!D42+INPUT!D43+INPUT!D44+INPUT!D46+INPUT!D47),0)</f>
        <v>1.9464436941695109E-2</v>
      </c>
      <c r="G29" s="11">
        <f>IFERROR(INPUT!E44/(INPUT!E42+INPUT!E43+INPUT!E44+INPUT!E46+INPUT!E47),0)</f>
        <v>2.0202020202020204E-2</v>
      </c>
      <c r="H29" s="11">
        <f>IFERROR(INPUT!F44/(INPUT!F42+INPUT!F43+INPUT!F44+INPUT!F46+INPUT!F47),0)</f>
        <v>4.2105263157894736E-2</v>
      </c>
      <c r="I29" s="11">
        <f>IFERROR(INPUT!G44/(INPUT!G42+INPUT!G43+INPUT!G44+INPUT!G46+INPUT!G47),0)</f>
        <v>5.3763440860215048E-2</v>
      </c>
      <c r="J29" s="11">
        <f>IFERROR(INPUT!H44/(INPUT!H42+INPUT!H43+INPUT!H44+INPUT!H46+INPUT!H47),0)</f>
        <v>6.8965517241379323E-2</v>
      </c>
      <c r="K29" s="11">
        <f>IFERROR(INPUT!I44/(INPUT!I42+INPUT!I43+INPUT!I44+INPUT!I46+INPUT!I47),0)</f>
        <v>7.5949367088607583E-2</v>
      </c>
      <c r="L29" s="11">
        <f>IFERROR(INPUT!J44/(INPUT!J42+INPUT!J43+INPUT!J44+INPUT!J46+INPUT!J47),0)</f>
        <v>9.2307692307692299E-2</v>
      </c>
      <c r="M29" s="2">
        <v>1</v>
      </c>
      <c r="N29" s="2">
        <v>1</v>
      </c>
    </row>
    <row r="30" spans="2:14" x14ac:dyDescent="0.25">
      <c r="B30" s="2"/>
      <c r="C30" s="2"/>
      <c r="D30" s="2" t="s">
        <v>41</v>
      </c>
      <c r="E30" s="2" t="s">
        <v>86</v>
      </c>
      <c r="F30" s="11">
        <f>IFERROR(INPUT!D46/(INPUT!D42+INPUT!D43+INPUT!D44+INPUT!D46+INPUT!D47),0)</f>
        <v>0</v>
      </c>
      <c r="G30" s="11">
        <f>IFERROR(INPUT!E46/(INPUT!E42+INPUT!E43+INPUT!E44+INPUT!E46+INPUT!E47),0)</f>
        <v>0</v>
      </c>
      <c r="H30" s="11">
        <f>IFERROR(INPUT!F46/(INPUT!F42+INPUT!F43+INPUT!F44+INPUT!F46+INPUT!F47),0)</f>
        <v>2.1052631578947368E-2</v>
      </c>
      <c r="I30" s="11">
        <f>IFERROR(INPUT!G46/(INPUT!G42+INPUT!G43+INPUT!G44+INPUT!G46+INPUT!G47),0)</f>
        <v>4.301075268817204E-2</v>
      </c>
      <c r="J30" s="11">
        <f>IFERROR(INPUT!H46/(INPUT!H42+INPUT!H43+INPUT!H44+INPUT!H46+INPUT!H47),0)</f>
        <v>0.11494252873563221</v>
      </c>
      <c r="K30" s="11">
        <f>IFERROR(INPUT!I46/(INPUT!I42+INPUT!I43+INPUT!I44+INPUT!I46+INPUT!I47),0)</f>
        <v>0.15189873417721517</v>
      </c>
      <c r="L30" s="11">
        <f>IFERROR(INPUT!J46/(INPUT!J42+INPUT!J43+INPUT!J44+INPUT!J46+INPUT!J47),0)</f>
        <v>0.27692307692307688</v>
      </c>
      <c r="M30" s="2">
        <v>1</v>
      </c>
      <c r="N30" s="2">
        <v>1</v>
      </c>
    </row>
    <row r="31" spans="2:14" x14ac:dyDescent="0.25">
      <c r="B31" s="2"/>
      <c r="C31" s="2"/>
      <c r="D31" s="2" t="s">
        <v>46</v>
      </c>
      <c r="E31" s="2" t="s">
        <v>86</v>
      </c>
      <c r="F31" s="11">
        <f>IFERROR(INPUT!D47/(INPUT!D42+INPUT!D43+INPUT!D44+INPUT!D46+INPUT!D47),0)</f>
        <v>0</v>
      </c>
      <c r="G31" s="11">
        <f>IFERROR(INPUT!E47/(INPUT!E42+INPUT!E43+INPUT!E44+INPUT!E46+INPUT!E47),0)</f>
        <v>0</v>
      </c>
      <c r="H31" s="11">
        <f>IFERROR(INPUT!F47/(INPUT!F42+INPUT!F43+INPUT!F44+INPUT!F46+INPUT!F47),0)</f>
        <v>1.0526315789473684E-2</v>
      </c>
      <c r="I31" s="11">
        <f>IFERROR(INPUT!G47/(INPUT!G42+INPUT!G43+INPUT!G44+INPUT!G46+INPUT!G47),0)</f>
        <v>5.3763440860215048E-2</v>
      </c>
      <c r="J31" s="11">
        <f>IFERROR(INPUT!H47/(INPUT!H42+INPUT!H43+INPUT!H44+INPUT!H46+INPUT!H47),0)</f>
        <v>9.195402298850576E-2</v>
      </c>
      <c r="K31" s="11">
        <f>IFERROR(INPUT!I47/(INPUT!I42+INPUT!I43+INPUT!I44+INPUT!I46+INPUT!I47),0)</f>
        <v>0.17721518987341772</v>
      </c>
      <c r="L31" s="11">
        <f>IFERROR(INPUT!J47/(INPUT!J42+INPUT!J43+INPUT!J44+INPUT!J46+INPUT!J47),0)</f>
        <v>0.29230769230769232</v>
      </c>
      <c r="M31" s="2">
        <v>1</v>
      </c>
      <c r="N31" s="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23"/>
  <sheetViews>
    <sheetView zoomScaleNormal="100" workbookViewId="0">
      <selection activeCell="B4" sqref="B4"/>
    </sheetView>
  </sheetViews>
  <sheetFormatPr defaultColWidth="8.7109375" defaultRowHeight="15" x14ac:dyDescent="0.25"/>
  <cols>
    <col min="2" max="2" width="40" customWidth="1"/>
    <col min="3" max="9" width="10" customWidth="1"/>
  </cols>
  <sheetData>
    <row r="2" spans="2:9" ht="15.75" x14ac:dyDescent="0.25">
      <c r="B2" s="1" t="s">
        <v>152</v>
      </c>
    </row>
    <row r="3" spans="2:9" x14ac:dyDescent="0.25">
      <c r="B3" s="3" t="s">
        <v>153</v>
      </c>
    </row>
    <row r="4" spans="2:9" x14ac:dyDescent="0.25">
      <c r="B4" s="14" t="s">
        <v>154</v>
      </c>
    </row>
    <row r="5" spans="2:9" x14ac:dyDescent="0.25">
      <c r="B5" s="5" t="s">
        <v>51</v>
      </c>
      <c r="C5" s="5">
        <v>2023</v>
      </c>
      <c r="D5" s="5">
        <v>2025</v>
      </c>
      <c r="E5" s="5">
        <v>2030</v>
      </c>
      <c r="F5" s="5">
        <v>2035</v>
      </c>
      <c r="G5" s="5">
        <v>2040</v>
      </c>
      <c r="H5" s="5">
        <v>2045</v>
      </c>
      <c r="I5" s="5">
        <v>2050</v>
      </c>
    </row>
    <row r="6" spans="2:9" x14ac:dyDescent="0.25">
      <c r="B6" s="10" t="s">
        <v>155</v>
      </c>
      <c r="C6" s="10" t="s">
        <v>156</v>
      </c>
      <c r="D6" s="10" t="s">
        <v>156</v>
      </c>
      <c r="E6" s="10" t="s">
        <v>156</v>
      </c>
      <c r="F6" s="10" t="s">
        <v>156</v>
      </c>
      <c r="G6" s="10" t="s">
        <v>156</v>
      </c>
      <c r="H6" s="10" t="s">
        <v>156</v>
      </c>
      <c r="I6" s="10" t="s">
        <v>156</v>
      </c>
    </row>
    <row r="7" spans="2:9" x14ac:dyDescent="0.25">
      <c r="B7" s="2" t="s">
        <v>66</v>
      </c>
      <c r="C7" s="12">
        <f>INPUT!C6*INPUT!D15</f>
        <v>8.053123239436605</v>
      </c>
      <c r="D7" s="12">
        <f>INPUT!D6*INPUT!E15</f>
        <v>7.9693399964789675</v>
      </c>
      <c r="E7" s="12">
        <f>INPUT!E6*INPUT!F15</f>
        <v>8.3625709490790996</v>
      </c>
      <c r="F7" s="12">
        <f>INPUT!F6*INPUT!G15</f>
        <v>8.9839160046045965</v>
      </c>
      <c r="G7" s="12">
        <f>INPUT!G6*INPUT!H15</f>
        <v>10.223787163055269</v>
      </c>
      <c r="H7" s="12">
        <f>INPUT!H6*INPUT!I15</f>
        <v>11.935968024431258</v>
      </c>
      <c r="I7" s="12">
        <f>INPUT!I6*INPUT!J15</f>
        <v>13.946630616793088</v>
      </c>
    </row>
    <row r="8" spans="2:9" x14ac:dyDescent="0.25">
      <c r="B8" s="2" t="s">
        <v>70</v>
      </c>
      <c r="C8" s="12">
        <f>INPUT!C6*(INPUT!D16+INPUT!D17+INPUT!D18)</f>
        <v>6.3326999999999964</v>
      </c>
      <c r="D8" s="12">
        <f>INPUT!D6*(INPUT!E16+INPUT!E17+INPUT!E18)</f>
        <v>5.7709013767606328</v>
      </c>
      <c r="E8" s="12">
        <f>INPUT!E6*(INPUT!F16+INPUT!F17+INPUT!F18)</f>
        <v>5.1254467107258996</v>
      </c>
      <c r="F8" s="12">
        <f>INPUT!F6*(INPUT!G16+INPUT!G17+INPUT!G18)</f>
        <v>4.6280779417660032</v>
      </c>
      <c r="G8" s="12">
        <f>INPUT!G6*(INPUT!H16+INPUT!H17+INPUT!H18)</f>
        <v>4.3816230698808294</v>
      </c>
      <c r="H8" s="12">
        <f>INPUT!H6*(INPUT!I16+INPUT!I17+INPUT!I18)</f>
        <v>4.193718495070442</v>
      </c>
      <c r="I8" s="12">
        <f>INPUT!I6*(INPUT!J16+INPUT!J17+INPUT!J18)</f>
        <v>3.7073321892741116</v>
      </c>
    </row>
    <row r="9" spans="2:9" x14ac:dyDescent="0.25">
      <c r="B9" s="2" t="s">
        <v>72</v>
      </c>
      <c r="C9" s="12">
        <f>INPUT!C7*INPUT!D21</f>
        <v>10.851987499651754</v>
      </c>
      <c r="D9" s="12">
        <f>INPUT!D7*INPUT!E21</f>
        <v>10.064492900599999</v>
      </c>
      <c r="E9" s="12">
        <f>INPUT!E7*INPUT!F21</f>
        <v>13.7316499164</v>
      </c>
      <c r="F9" s="12">
        <f>INPUT!F7*INPUT!G21</f>
        <v>17.525226577599998</v>
      </c>
      <c r="G9" s="12">
        <f>INPUT!G7*INPUT!H21</f>
        <v>20.739929654000001</v>
      </c>
      <c r="H9" s="12">
        <f>INPUT!H7*INPUT!I21</f>
        <v>26.870055239999999</v>
      </c>
      <c r="I9" s="12">
        <f>INPUT!I7*INPUT!J21</f>
        <v>31.222770990000001</v>
      </c>
    </row>
    <row r="10" spans="2:9" x14ac:dyDescent="0.25">
      <c r="B10" s="2" t="s">
        <v>74</v>
      </c>
      <c r="C10" s="12">
        <f>INPUT!C7*(INPUT!D22+INPUT!D23+INPUT!D24+INPUT!D25+INPUT!D26+INPUT!D27)</f>
        <v>12.584124672348244</v>
      </c>
      <c r="D10" s="12">
        <f>INPUT!D7*(INPUT!E22+INPUT!E23+INPUT!E24+INPUT!E25+INPUT!E26+INPUT!E27)</f>
        <v>14.483050759399999</v>
      </c>
      <c r="E10" s="12">
        <f>INPUT!E7*(INPUT!F22+INPUT!F23+INPUT!F24+INPUT!F25+INPUT!F26+INPUT!F27)</f>
        <v>12.6753691536</v>
      </c>
      <c r="F10" s="12">
        <f>INPUT!F7*(INPUT!G22+INPUT!G23+INPUT!G24+INPUT!G25+INPUT!G26+INPUT!G27)</f>
        <v>10.741267902399999</v>
      </c>
      <c r="G10" s="12">
        <f>INPUT!G7*(INPUT!H22+INPUT!H23+INPUT!H24+INPUT!H25+INPUT!H26+INPUT!H27)</f>
        <v>9.7599668959999999</v>
      </c>
      <c r="H10" s="12">
        <f>INPUT!H7*(INPUT!I22+INPUT!I23+INPUT!I24+INPUT!I25+INPUT!I26+INPUT!I27)</f>
        <v>8.9566850799999997</v>
      </c>
      <c r="I10" s="12">
        <f>INPUT!I7*(INPUT!J22+INPUT!J23+INPUT!J24+INPUT!J25+INPUT!J26+INPUT!J27)</f>
        <v>10.40759033</v>
      </c>
    </row>
    <row r="11" spans="2:9" x14ac:dyDescent="0.25">
      <c r="B11" s="2" t="s">
        <v>76</v>
      </c>
      <c r="C11" s="12">
        <f>INPUT!C8*INPUT!D30</f>
        <v>7.6113620000000024</v>
      </c>
      <c r="D11" s="12">
        <f>INPUT!D8*INPUT!E30</f>
        <v>7.3997975699999996</v>
      </c>
      <c r="E11" s="12">
        <f>INPUT!E8*INPUT!F30</f>
        <v>8.6172121199999641</v>
      </c>
      <c r="F11" s="12">
        <f>INPUT!F8*INPUT!G30</f>
        <v>10.045313621538467</v>
      </c>
      <c r="G11" s="12">
        <f>INPUT!G8*INPUT!H30</f>
        <v>11.454037929230735</v>
      </c>
      <c r="H11" s="12">
        <f>INPUT!H8*INPUT!I30</f>
        <v>12.540440990000013</v>
      </c>
      <c r="I11" s="12">
        <f>INPUT!I8*INPUT!J30</f>
        <v>13.369449939999972</v>
      </c>
    </row>
    <row r="12" spans="2:9" x14ac:dyDescent="0.25">
      <c r="B12" s="2" t="s">
        <v>78</v>
      </c>
      <c r="C12" s="12">
        <f>INPUT!C8*(INPUT!D31+INPUT!D32+INPUT!D33)</f>
        <v>2.3408000000000029</v>
      </c>
      <c r="D12" s="12">
        <f>INPUT!D8*(INPUT!E31+INPUT!E32+INPUT!E33)</f>
        <v>2.7369114300000001</v>
      </c>
      <c r="E12" s="12">
        <f>INPUT!E8*(INPUT!F31+INPUT!F32+INPUT!F33)</f>
        <v>2.4304957261538362</v>
      </c>
      <c r="F12" s="12">
        <f>INPUT!F8*(INPUT!G31+INPUT!G32+INPUT!G33)</f>
        <v>1.9133930707692322</v>
      </c>
      <c r="G12" s="12">
        <f>INPUT!G8*(INPUT!H31+INPUT!H32+INPUT!H33)</f>
        <v>1.415667609230765</v>
      </c>
      <c r="H12" s="12">
        <f>INPUT!H8*(INPUT!I31+INPUT!I32+INPUT!I33)</f>
        <v>1.2402633946153858</v>
      </c>
      <c r="I12" s="12">
        <f>INPUT!I8*(INPUT!J31+INPUT!J32+INPUT!J33)</f>
        <v>1.3222532907692279</v>
      </c>
    </row>
    <row r="13" spans="2:9" x14ac:dyDescent="0.25">
      <c r="B13" s="2" t="s">
        <v>80</v>
      </c>
      <c r="C13" s="12">
        <f>INPUT!C9*INPUT!D37</f>
        <v>3.2638660560000021</v>
      </c>
      <c r="D13" s="12">
        <f>INPUT!D9*INPUT!E37</f>
        <v>0.2594479852799994</v>
      </c>
      <c r="E13" s="12">
        <f>INPUT!E9*INPUT!F37</f>
        <v>0.56547531182768562</v>
      </c>
      <c r="F13" s="12">
        <f>INPUT!F9*INPUT!G37</f>
        <v>0.82084208244021772</v>
      </c>
      <c r="G13" s="12">
        <f>INPUT!G9*INPUT!H37</f>
        <v>1.3970843070932517</v>
      </c>
      <c r="H13" s="12">
        <f>INPUT!H9*INPUT!I37</f>
        <v>1.9368936355655324</v>
      </c>
      <c r="I13" s="12">
        <f>INPUT!I9*INPUT!J37</f>
        <v>2.6577956453069103</v>
      </c>
    </row>
    <row r="14" spans="2:9" x14ac:dyDescent="0.25">
      <c r="B14" s="2" t="s">
        <v>82</v>
      </c>
      <c r="C14" s="12">
        <f>INPUT!C9*(INPUT!D36+INPUT!D38+INPUT!D39)</f>
        <v>0.83391000000000193</v>
      </c>
      <c r="D14" s="12">
        <f>INPUT!D9*(INPUT!E36+INPUT!E38+INPUT!E39)</f>
        <v>4.0646851027199906</v>
      </c>
      <c r="E14" s="12">
        <f>INPUT!E9*(INPUT!F36+INPUT!F38+INPUT!F39)</f>
        <v>4.5752093411512753</v>
      </c>
      <c r="F14" s="12">
        <f>INPUT!F9*(INPUT!G36+INPUT!G38+INPUT!G39)</f>
        <v>5.042315649275622</v>
      </c>
      <c r="G14" s="12">
        <f>INPUT!G9*(INPUT!H36+INPUT!H38+INPUT!H39)</f>
        <v>5.2556981076365181</v>
      </c>
      <c r="H14" s="12">
        <f>INPUT!H9*(INPUT!I36+INPUT!I38+INPUT!I39)</f>
        <v>5.8106809066965974</v>
      </c>
      <c r="I14" s="12">
        <f>INPUT!I9*(INPUT!J36+INPUT!J38+INPUT!J39)</f>
        <v>6.2015231723827906</v>
      </c>
    </row>
    <row r="15" spans="2:9" x14ac:dyDescent="0.25">
      <c r="B15" s="2" t="s">
        <v>84</v>
      </c>
      <c r="C15" s="12">
        <f>INPUT!C10*INPUT!D45</f>
        <v>0.46411306868168595</v>
      </c>
      <c r="D15" s="12">
        <f>INPUT!D10*INPUT!E45</f>
        <v>0.35452017919999906</v>
      </c>
      <c r="E15" s="12">
        <f>INPUT!E10*INPUT!F45</f>
        <v>1.9980095081305203</v>
      </c>
      <c r="F15" s="12">
        <f>INPUT!F10*INPUT!G45</f>
        <v>3.0723122436856505</v>
      </c>
      <c r="G15" s="12">
        <f>INPUT!G10*INPUT!H45</f>
        <v>6.2148448516064168</v>
      </c>
      <c r="H15" s="12">
        <f>INPUT!H10*INPUT!I45</f>
        <v>10.945596877029843</v>
      </c>
      <c r="I15" s="12">
        <f>INPUT!I10*INPUT!J45</f>
        <v>19.659714678881969</v>
      </c>
    </row>
    <row r="16" spans="2:9" x14ac:dyDescent="0.25">
      <c r="B16" s="2" t="s">
        <v>86</v>
      </c>
      <c r="C16" s="12">
        <f>INPUT!C10*(INPUT!D42+INPUT!D43+INPUT!D44+INPUT!D46+INPUT!D47)</f>
        <v>34.083154346311915</v>
      </c>
      <c r="D16" s="12">
        <f>INPUT!D10*(INPUT!E42+INPUT!E43+INPUT!E44+INPUT!E46+INPUT!E47)</f>
        <v>35.097497740799902</v>
      </c>
      <c r="E16" s="12">
        <f>INPUT!E10*(INPUT!F42+INPUT!F43+INPUT!F44+INPUT!F46+INPUT!F47)</f>
        <v>37.962180654479887</v>
      </c>
      <c r="F16" s="12">
        <f>INPUT!F10*(INPUT!G42+INPUT!G43+INPUT!G44+INPUT!G46+INPUT!G47)</f>
        <v>40.817862666109356</v>
      </c>
      <c r="G16" s="12">
        <f>INPUT!G10*(INPUT!H42+INPUT!H43+INPUT!H44+INPUT!H46+INPUT!H47)</f>
        <v>41.591654006904477</v>
      </c>
      <c r="H16" s="12">
        <f>INPUT!H10*(INPUT!I42+INPUT!I43+INPUT!I44+INPUT!I46+INPUT!I47)</f>
        <v>41.176293013588456</v>
      </c>
      <c r="I16" s="12">
        <f>INPUT!I10*(INPUT!J42+INPUT!J43+INPUT!J44+INPUT!J46+INPUT!J47)</f>
        <v>36.510898689352231</v>
      </c>
    </row>
    <row r="18" spans="2:9" x14ac:dyDescent="0.25">
      <c r="B18" s="3" t="s">
        <v>157</v>
      </c>
    </row>
    <row r="19" spans="2:9" x14ac:dyDescent="0.25">
      <c r="B19" s="3" t="s">
        <v>28</v>
      </c>
      <c r="C19" s="13">
        <f>C7+C8-INPUT!C6</f>
        <v>0</v>
      </c>
      <c r="D19" s="13">
        <f>D7+D8-INPUT!D6</f>
        <v>0</v>
      </c>
      <c r="E19" s="13">
        <f>E7+E8-INPUT!E6</f>
        <v>0</v>
      </c>
      <c r="F19" s="13">
        <f>F7+F8-INPUT!F6</f>
        <v>0</v>
      </c>
      <c r="G19" s="13">
        <f>G7+G8-INPUT!G6</f>
        <v>0</v>
      </c>
      <c r="H19" s="13">
        <f>H7+H8-INPUT!H6</f>
        <v>0</v>
      </c>
      <c r="I19" s="13">
        <f>I7+I8-INPUT!I6</f>
        <v>0</v>
      </c>
    </row>
    <row r="20" spans="2:9" x14ac:dyDescent="0.25">
      <c r="B20" s="3" t="s">
        <v>29</v>
      </c>
      <c r="C20" s="13">
        <f>C9+C10-INPUT!C7</f>
        <v>0</v>
      </c>
      <c r="D20" s="13">
        <f>D9+D10-INPUT!D7</f>
        <v>0</v>
      </c>
      <c r="E20" s="13">
        <f>E9+E10-INPUT!E7</f>
        <v>0</v>
      </c>
      <c r="F20" s="13">
        <f>F9+F10-INPUT!F7</f>
        <v>0</v>
      </c>
      <c r="G20" s="13">
        <f>G9+G10-INPUT!G7</f>
        <v>0</v>
      </c>
      <c r="H20" s="13">
        <f>H9+H10-INPUT!H7</f>
        <v>0</v>
      </c>
      <c r="I20" s="13">
        <f>I9+I10-INPUT!I7</f>
        <v>0</v>
      </c>
    </row>
    <row r="21" spans="2:9" x14ac:dyDescent="0.25">
      <c r="B21" s="3" t="s">
        <v>30</v>
      </c>
      <c r="C21" s="13">
        <f>C11+C12-INPUT!C8</f>
        <v>0</v>
      </c>
      <c r="D21" s="13">
        <f>D11+D12-INPUT!D8</f>
        <v>0</v>
      </c>
      <c r="E21" s="13">
        <f>E11+E12-INPUT!E8</f>
        <v>0</v>
      </c>
      <c r="F21" s="13">
        <f>F11+F12-INPUT!F8</f>
        <v>0</v>
      </c>
      <c r="G21" s="13">
        <f>G11+G12-INPUT!G8</f>
        <v>0</v>
      </c>
      <c r="H21" s="13">
        <f>H11+H12-INPUT!H8</f>
        <v>0</v>
      </c>
      <c r="I21" s="13">
        <f>I11+I12-INPUT!I8</f>
        <v>0</v>
      </c>
    </row>
    <row r="22" spans="2:9" x14ac:dyDescent="0.25">
      <c r="B22" s="3" t="s">
        <v>31</v>
      </c>
      <c r="C22" s="13">
        <f>C13+C14-INPUT!C9</f>
        <v>0</v>
      </c>
      <c r="D22" s="13">
        <f>D13+D14-INPUT!D9</f>
        <v>0</v>
      </c>
      <c r="E22" s="13">
        <f>E13+E14-INPUT!E9</f>
        <v>0</v>
      </c>
      <c r="F22" s="13">
        <f>F13+F14-INPUT!F9</f>
        <v>0</v>
      </c>
      <c r="G22" s="13">
        <f>G13+G14-INPUT!G9</f>
        <v>0</v>
      </c>
      <c r="H22" s="13">
        <f>H13+H14-INPUT!H9</f>
        <v>0</v>
      </c>
      <c r="I22" s="13">
        <f>I13+I14-INPUT!I9</f>
        <v>0</v>
      </c>
    </row>
    <row r="23" spans="2:9" x14ac:dyDescent="0.25">
      <c r="B23" s="3" t="s">
        <v>32</v>
      </c>
      <c r="C23" s="13">
        <f>C15+C16-INPUT!C10</f>
        <v>0</v>
      </c>
      <c r="D23" s="13">
        <f>D15+D16-INPUT!D10</f>
        <v>0</v>
      </c>
      <c r="E23" s="13">
        <f>E15+E16-INPUT!E10</f>
        <v>0</v>
      </c>
      <c r="F23" s="13">
        <f>F15+F16-INPUT!F10</f>
        <v>0</v>
      </c>
      <c r="G23" s="13">
        <f>G15+G16-INPUT!G10</f>
        <v>0</v>
      </c>
      <c r="H23" s="13">
        <f>H15+H16-INPUT!H10</f>
        <v>0</v>
      </c>
      <c r="I23" s="13">
        <f>I15+I16-INPUT!I10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11"/>
  <sheetViews>
    <sheetView tabSelected="1" zoomScaleNormal="100" workbookViewId="0">
      <selection activeCell="J28" sqref="J28"/>
    </sheetView>
  </sheetViews>
  <sheetFormatPr defaultColWidth="8.7109375" defaultRowHeight="15" x14ac:dyDescent="0.25"/>
  <cols>
    <col min="2" max="2" width="16" customWidth="1"/>
  </cols>
  <sheetData>
    <row r="2" spans="2:9" ht="15.75" x14ac:dyDescent="0.25">
      <c r="B2" s="1" t="s">
        <v>158</v>
      </c>
    </row>
    <row r="4" spans="2:9" x14ac:dyDescent="0.25">
      <c r="B4" s="14" t="s">
        <v>159</v>
      </c>
    </row>
    <row r="5" spans="2:9" x14ac:dyDescent="0.25">
      <c r="B5" s="5" t="s">
        <v>92</v>
      </c>
      <c r="C5" s="5" t="s">
        <v>51</v>
      </c>
      <c r="D5" s="5" t="s">
        <v>38</v>
      </c>
      <c r="E5" s="5" t="s">
        <v>40</v>
      </c>
      <c r="F5" s="5" t="s">
        <v>41</v>
      </c>
      <c r="G5" s="5" t="s">
        <v>43</v>
      </c>
      <c r="H5" s="5" t="s">
        <v>44</v>
      </c>
      <c r="I5" s="5" t="s">
        <v>45</v>
      </c>
    </row>
    <row r="6" spans="2:9" x14ac:dyDescent="0.25">
      <c r="B6" s="10" t="s">
        <v>146</v>
      </c>
      <c r="C6" s="10" t="s">
        <v>160</v>
      </c>
      <c r="D6" s="10" t="s">
        <v>161</v>
      </c>
      <c r="E6" s="10" t="s">
        <v>161</v>
      </c>
      <c r="F6" s="10" t="s">
        <v>161</v>
      </c>
      <c r="G6" s="10" t="s">
        <v>161</v>
      </c>
      <c r="H6" s="10" t="s">
        <v>161</v>
      </c>
      <c r="I6" s="10" t="s">
        <v>161</v>
      </c>
    </row>
    <row r="7" spans="2:9" x14ac:dyDescent="0.25">
      <c r="B7" s="2" t="s">
        <v>112</v>
      </c>
      <c r="C7" s="2" t="s">
        <v>162</v>
      </c>
      <c r="D7" s="2">
        <f>INPUT!B52</f>
        <v>74.099999999999994</v>
      </c>
      <c r="E7" s="2">
        <f>INPUT!C52</f>
        <v>63.1</v>
      </c>
      <c r="F7" s="2">
        <f>INPUT!D52</f>
        <v>56.1</v>
      </c>
      <c r="G7" s="2">
        <f>INPUT!E52</f>
        <v>69.3</v>
      </c>
      <c r="H7" s="2">
        <f>INPUT!F52</f>
        <v>77.400000000000006</v>
      </c>
      <c r="I7" s="2">
        <f>INPUT!G52</f>
        <v>95</v>
      </c>
    </row>
    <row r="8" spans="2:9" x14ac:dyDescent="0.25">
      <c r="B8" s="2" t="s">
        <v>117</v>
      </c>
      <c r="C8" s="2" t="s">
        <v>162</v>
      </c>
      <c r="D8" s="2">
        <f>INPUT!B52</f>
        <v>74.099999999999994</v>
      </c>
      <c r="E8" s="2">
        <f>INPUT!C52</f>
        <v>63.1</v>
      </c>
      <c r="F8" s="2">
        <f>INPUT!D52</f>
        <v>56.1</v>
      </c>
      <c r="G8" s="2">
        <f>INPUT!E52</f>
        <v>69.3</v>
      </c>
      <c r="H8" s="2">
        <f>INPUT!F52</f>
        <v>77.400000000000006</v>
      </c>
      <c r="I8" s="2">
        <f>INPUT!G52</f>
        <v>95</v>
      </c>
    </row>
    <row r="9" spans="2:9" x14ac:dyDescent="0.25">
      <c r="B9" s="2" t="s">
        <v>121</v>
      </c>
      <c r="C9" s="2" t="s">
        <v>162</v>
      </c>
      <c r="D9" s="2">
        <f>INPUT!B52</f>
        <v>74.099999999999994</v>
      </c>
      <c r="E9" s="2">
        <f>INPUT!C52</f>
        <v>63.1</v>
      </c>
      <c r="F9" s="2">
        <f>INPUT!D52</f>
        <v>56.1</v>
      </c>
      <c r="G9" s="2">
        <f>INPUT!E52</f>
        <v>69.3</v>
      </c>
      <c r="H9" s="2">
        <f>INPUT!F52</f>
        <v>77.400000000000006</v>
      </c>
      <c r="I9" s="2">
        <f>INPUT!G52</f>
        <v>95</v>
      </c>
    </row>
    <row r="10" spans="2:9" x14ac:dyDescent="0.25">
      <c r="B10" s="2" t="s">
        <v>125</v>
      </c>
      <c r="C10" s="2" t="s">
        <v>162</v>
      </c>
      <c r="D10" s="2">
        <f>INPUT!B52</f>
        <v>74.099999999999994</v>
      </c>
      <c r="E10" s="2">
        <f>INPUT!C52</f>
        <v>63.1</v>
      </c>
      <c r="F10" s="2">
        <f>INPUT!D52</f>
        <v>56.1</v>
      </c>
      <c r="G10" s="2">
        <f>INPUT!E52</f>
        <v>69.3</v>
      </c>
      <c r="H10" s="2">
        <f>INPUT!F52</f>
        <v>77.400000000000006</v>
      </c>
      <c r="I10" s="2">
        <f>INPUT!G52</f>
        <v>95</v>
      </c>
    </row>
    <row r="11" spans="2:9" x14ac:dyDescent="0.25">
      <c r="B11" s="2" t="s">
        <v>129</v>
      </c>
      <c r="C11" s="2" t="s">
        <v>162</v>
      </c>
      <c r="D11" s="2">
        <f>INPUT!B52</f>
        <v>74.099999999999994</v>
      </c>
      <c r="E11" s="2">
        <f>INPUT!C52</f>
        <v>63.1</v>
      </c>
      <c r="F11" s="2">
        <f>INPUT!D52</f>
        <v>56.1</v>
      </c>
      <c r="G11" s="2">
        <f>INPUT!E52</f>
        <v>69.3</v>
      </c>
      <c r="H11" s="2">
        <f>INPUT!F52</f>
        <v>77.400000000000006</v>
      </c>
      <c r="I11" s="2">
        <f>INPUT!G52</f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NOTE</vt:lpstr>
      <vt:lpstr>INPUT</vt:lpstr>
      <vt:lpstr>SEC_Comm</vt:lpstr>
      <vt:lpstr>SEC_Processes</vt:lpstr>
      <vt:lpstr>FINAL_DEMAND_PRC</vt:lpstr>
      <vt:lpstr>DEMAND</vt:lpstr>
      <vt:lpstr>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Pier Luca Maria Buonomo</cp:lastModifiedBy>
  <cp:revision>0</cp:revision>
  <dcterms:created xsi:type="dcterms:W3CDTF">2026-10-05T10:48:54Z</dcterms:created>
  <dcterms:modified xsi:type="dcterms:W3CDTF">2026-10-06T08:43:34Z</dcterms:modified>
  <dc:language>en-US</dc:language>
</cp:coreProperties>
</file>