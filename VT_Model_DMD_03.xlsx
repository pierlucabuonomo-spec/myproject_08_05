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NOTE" sheetId="1" state="visible" r:id="rId3"/>
    <sheet name="INPUT" sheetId="2" state="visible" r:id="rId4"/>
    <sheet name="SEC_Comm" sheetId="3" state="visible" r:id="rId5"/>
    <sheet name="SEC_Processes" sheetId="4" state="visible" r:id="rId6"/>
    <sheet name="FINAL_DEMAND_PRC" sheetId="5" state="visible" r:id="rId7"/>
    <sheet name="DEMAND" sheetId="6" state="visible" r:id="rId8"/>
    <sheet name="EMI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<sst xmlns="http://schemas.openxmlformats.org/spreadsheetml/2006/main" count="469" uniqueCount="171">
  <si>
    <t xml:space="preserve">VT_Model_DMD_02 - domanda finale con separazione elettrico / non elettrico</t>
  </si>
  <si>
    <t xml:space="preserve">Perche: nel run precedente i profili orari erano imposti con FLO_FR sui processi ELE_DMD_*.</t>
  </si>
  <si>
    <t xml:space="preserve">Ogni vincolo FLO_FR lega il flusso di un'ora alla somma dei flussi di tutte le 2016 timeslice: righe dense,</t>
  </si>
  <si>
    <t xml:space="preserve">circa 12 milioni di non-zeri su 17,3 totali, che hanno saturato la memoria di CPLEX su NEOS.</t>
  </si>
  <si>
    <t xml:space="preserve">Cosa cambia rispetto a VT_Model_DMD_01_C2:</t>
  </si>
  <si>
    <t xml:space="preserve">1) Ogni settore ha due domande: DEM_ELC_&lt;sett&gt; (elettrica, livello DAYNITE) e DEM_FUEL_&lt;sett&gt; (non elettrica, ANNUAL).</t>
  </si>
  <si>
    <t xml:space="preserve">2) Domanda elettrica = domanda totale x quota elettrica (Share-I di ELEC_LV_DIST del file C2), calcolata nel foglio DEMAND.</t>
  </si>
  <si>
    <t xml:space="preserve">3) Domanda non elettrica = domanda totale x (somma quote non elettriche).</t>
  </si>
  <si>
    <t xml:space="preserve">4) I processi DMD_FUEL_&lt;sett&gt; usano le quote dei combustibili rinormalizzate sulla sola parte non elettrica (foglio FINAL_DEMAND_PRC).</t>
  </si>
  <si>
    <t xml:space="preserve">5) Il profilo orario si applica con COM_FR sulle DEM_ELC_* (file Scen_COM_FR_ELC_DEM.xlsx): entra come termine noto,</t>
  </si>
  <si>
    <t xml:space="preserve">   non crea righe dense e, avendo interpolazione STD, vale per tutti i periodi 2023-2050.</t>
  </si>
  <si>
    <t xml:space="preserve">6) I processi non elettrici sono ANNUAL: non generano piu vincoli per ognuna delle 2016 timeslice.</t>
  </si>
  <si>
    <t xml:space="preserve">7) Le commodity di input (ELEC_LV_DIST, DIESEL, NLG, ...) NON sono ridichiarate qui: restano definite in ELC/SUP/SubRES.</t>
  </si>
  <si>
    <t xml:space="preserve">Dati di partenza: foglio INPUT, valori copiati da VT_Model_DMD_01_C2 (domande e quote; i valori 2023 nel file C2</t>
  </si>
  <si>
    <t xml:space="preserve">provenivano da collegamenti a cartelle esterne, qui sono riportati come valori). Celle in blu = input modificabili.</t>
  </si>
  <si>
    <t xml:space="preserve">Da fare in VEDA: rimuovere VT_Model_DMD_01 e VT_Model_DMD_01_C2 dalla cartella del modello e i quattro</t>
  </si>
  <si>
    <t xml:space="preserve">Scen_COM_FR_ELE_*.xlsx da SuppXLS; aggiungere questo file e Scen_COM_FR_ELC_DEM.xlsx; risincronizzare.</t>
  </si>
  <si>
    <t xml:space="preserve">Dati di partenza (da VT_Model_DMD_01_C2)</t>
  </si>
  <si>
    <t xml:space="preserve">Nessun tag VEDA in questo foglio: non viene letto dal modello. Celle in blu = input.</t>
  </si>
  <si>
    <t xml:space="preserve">Domanda finale totale [PJ/a]</t>
  </si>
  <si>
    <t xml:space="preserve">Settore</t>
  </si>
  <si>
    <t xml:space="preserve">2023</t>
  </si>
  <si>
    <t xml:space="preserve">2025</t>
  </si>
  <si>
    <t xml:space="preserve">2030</t>
  </si>
  <si>
    <t xml:space="preserve">2035</t>
  </si>
  <si>
    <t xml:space="preserve">2040</t>
  </si>
  <si>
    <t xml:space="preserve">2045</t>
  </si>
  <si>
    <t xml:space="preserve">2050</t>
  </si>
  <si>
    <t xml:space="preserve">RES</t>
  </si>
  <si>
    <t xml:space="preserve">IND</t>
  </si>
  <si>
    <t xml:space="preserve">SER</t>
  </si>
  <si>
    <t xml:space="preserve">AGR</t>
  </si>
  <si>
    <t xml:space="preserve">TRS</t>
  </si>
  <si>
    <t xml:space="preserve">Quote di input (Share-I FX) per settore - somma = 1</t>
  </si>
  <si>
    <t xml:space="preserve">Commodity</t>
  </si>
  <si>
    <t xml:space="preserve">Tipo</t>
  </si>
  <si>
    <t xml:space="preserve">ELEC_LV_DIST</t>
  </si>
  <si>
    <t xml:space="preserve">elettrico</t>
  </si>
  <si>
    <t xml:space="preserve">DIESEL</t>
  </si>
  <si>
    <t xml:space="preserve">non elettrico</t>
  </si>
  <si>
    <t xml:space="preserve">OGL</t>
  </si>
  <si>
    <t xml:space="preserve">NLG</t>
  </si>
  <si>
    <t xml:space="preserve">Somma (controllo)</t>
  </si>
  <si>
    <t xml:space="preserve">GASOLINE</t>
  </si>
  <si>
    <t xml:space="preserve">FUEL_OIL</t>
  </si>
  <si>
    <t xml:space="preserve">SOLID</t>
  </si>
  <si>
    <t xml:space="preserve">HYDROGEN_ENGINE</t>
  </si>
  <si>
    <t xml:space="preserve">Fattori di emissione CO2 [kt/PJ] (da foglio EMI del file C2)</t>
  </si>
  <si>
    <t xml:space="preserve">Commodity di domanda</t>
  </si>
  <si>
    <t xml:space="preserve">~FI_Comm</t>
  </si>
  <si>
    <t xml:space="preserve">Csets</t>
  </si>
  <si>
    <t xml:space="preserve">CommName</t>
  </si>
  <si>
    <t xml:space="preserve">CommDesc</t>
  </si>
  <si>
    <t xml:space="preserve">Unit</t>
  </si>
  <si>
    <t xml:space="preserve">LimType</t>
  </si>
  <si>
    <t xml:space="preserve">CTSLvl</t>
  </si>
  <si>
    <t xml:space="preserve">PeakTS</t>
  </si>
  <si>
    <t xml:space="preserve">Ctype</t>
  </si>
  <si>
    <t xml:space="preserve">\I: Commodity Set</t>
  </si>
  <si>
    <t xml:space="preserve">Commodity Name</t>
  </si>
  <si>
    <t xml:space="preserve">Commodity Description</t>
  </si>
  <si>
    <t xml:space="preserve">Sense of Balance Equation</t>
  </si>
  <si>
    <t xml:space="preserve">TimeSlice Level</t>
  </si>
  <si>
    <t xml:space="preserve">Peak Monitoring</t>
  </si>
  <si>
    <t xml:space="preserve">Electricity Indicator</t>
  </si>
  <si>
    <t xml:space="preserve">DEM</t>
  </si>
  <si>
    <t xml:space="preserve">DEM_ELC_RES</t>
  </si>
  <si>
    <t xml:space="preserve">Domanda elettrica finale - Residenziale</t>
  </si>
  <si>
    <t xml:space="preserve">PJ</t>
  </si>
  <si>
    <t xml:space="preserve">DAYNITE</t>
  </si>
  <si>
    <t xml:space="preserve">DEM_FUEL_RES</t>
  </si>
  <si>
    <t xml:space="preserve">Domanda finale non elettrica - Residenziale</t>
  </si>
  <si>
    <t xml:space="preserve">DEM_ELC_IND</t>
  </si>
  <si>
    <t xml:space="preserve">Domanda elettrica finale - Industria</t>
  </si>
  <si>
    <t xml:space="preserve">DEM_FUEL_IND</t>
  </si>
  <si>
    <t xml:space="preserve">Domanda finale non elettrica - Industria</t>
  </si>
  <si>
    <t xml:space="preserve">DEM_ELC_SER</t>
  </si>
  <si>
    <t xml:space="preserve">Domanda elettrica finale - Servizi</t>
  </si>
  <si>
    <t xml:space="preserve">DEM_FUEL_SER</t>
  </si>
  <si>
    <t xml:space="preserve">Domanda finale non elettrica - Servizi</t>
  </si>
  <si>
    <t xml:space="preserve">DEM_ELC_AGR</t>
  </si>
  <si>
    <t xml:space="preserve">Domanda elettrica finale - Agricoltura</t>
  </si>
  <si>
    <t xml:space="preserve">DEM_FUEL_AGR</t>
  </si>
  <si>
    <t xml:space="preserve">Domanda finale non elettrica - Agricoltura</t>
  </si>
  <si>
    <t xml:space="preserve">DEM_ELC_TRS</t>
  </si>
  <si>
    <t xml:space="preserve">Domanda elettrica finale - Trasporti</t>
  </si>
  <si>
    <t xml:space="preserve">DEM_FUEL_TRS</t>
  </si>
  <si>
    <t xml:space="preserve">Domanda finale non elettrica - Trasporti</t>
  </si>
  <si>
    <t xml:space="preserve">DEM_H2_AGR</t>
  </si>
  <si>
    <t xml:space="preserve">Domanda finale idrogeno - Agricoltura</t>
  </si>
  <si>
    <t xml:space="preserve">DEM_H2_TRS</t>
  </si>
  <si>
    <t xml:space="preserve">Domanda finale idrogeno - Trasporti</t>
  </si>
  <si>
    <t xml:space="preserve">Processi di domanda</t>
  </si>
  <si>
    <t xml:space="preserve">~FI_Process</t>
  </si>
  <si>
    <t xml:space="preserve">Sets</t>
  </si>
  <si>
    <t xml:space="preserve">Region</t>
  </si>
  <si>
    <t xml:space="preserve">TechName</t>
  </si>
  <si>
    <t xml:space="preserve">TechDesc</t>
  </si>
  <si>
    <t xml:space="preserve">Tact</t>
  </si>
  <si>
    <t xml:space="preserve">Tcap</t>
  </si>
  <si>
    <t xml:space="preserve">Tslvl</t>
  </si>
  <si>
    <t xml:space="preserve">PrimaryCG</t>
  </si>
  <si>
    <t xml:space="preserve">Vintage</t>
  </si>
  <si>
    <t xml:space="preserve">\I: Process Set</t>
  </si>
  <si>
    <t xml:space="preserve">Region Name</t>
  </si>
  <si>
    <t xml:space="preserve">Technology Name</t>
  </si>
  <si>
    <t xml:space="preserve">Technology Description</t>
  </si>
  <si>
    <t xml:space="preserve">Activity Unit</t>
  </si>
  <si>
    <t xml:space="preserve">Capacity Unit</t>
  </si>
  <si>
    <t xml:space="preserve">Primary Commodity Group</t>
  </si>
  <si>
    <t xml:space="preserve">Vintage Tracking</t>
  </si>
  <si>
    <t xml:space="preserve">DMD</t>
  </si>
  <si>
    <t xml:space="preserve">SAR</t>
  </si>
  <si>
    <t xml:space="preserve">DMD_ELC_RES</t>
  </si>
  <si>
    <t xml:space="preserve">Domanda elettrica - Residenziale</t>
  </si>
  <si>
    <t xml:space="preserve">PJa</t>
  </si>
  <si>
    <t xml:space="preserve">DMD_FUEL_RES</t>
  </si>
  <si>
    <t xml:space="preserve">Domanda non elettrica - Residenziale</t>
  </si>
  <si>
    <t xml:space="preserve">ANNUAL</t>
  </si>
  <si>
    <t xml:space="preserve">DMD_ELC_IND</t>
  </si>
  <si>
    <t xml:space="preserve">Domanda elettrica - Industria</t>
  </si>
  <si>
    <t xml:space="preserve">DMD_FUEL_IND</t>
  </si>
  <si>
    <t xml:space="preserve">Domanda non elettrica - Industria</t>
  </si>
  <si>
    <t xml:space="preserve">DMD_ELC_SER</t>
  </si>
  <si>
    <t xml:space="preserve">Domanda elettrica - Servizi</t>
  </si>
  <si>
    <t xml:space="preserve">DMD_FUEL_SER</t>
  </si>
  <si>
    <t xml:space="preserve">Domanda non elettrica - Servizi</t>
  </si>
  <si>
    <t xml:space="preserve">DMD_ELC_AGR</t>
  </si>
  <si>
    <t xml:space="preserve">Domanda elettrica - Agricoltura</t>
  </si>
  <si>
    <t xml:space="preserve">DMD_FUEL_AGR</t>
  </si>
  <si>
    <t xml:space="preserve">Domanda non elettrica - Agricoltura</t>
  </si>
  <si>
    <t xml:space="preserve">DMD_ELC_TRS</t>
  </si>
  <si>
    <t xml:space="preserve">Domanda elettrica - Trasporti</t>
  </si>
  <si>
    <t xml:space="preserve">DMD_FUEL_TRS</t>
  </si>
  <si>
    <t xml:space="preserve">Domanda non elettrica - Trasporti</t>
  </si>
  <si>
    <t xml:space="preserve">DMD_H2_AGR</t>
  </si>
  <si>
    <t xml:space="preserve">Domanda idrogeno - Agricoltura</t>
  </si>
  <si>
    <t xml:space="preserve">DMD_H2_TRS</t>
  </si>
  <si>
    <t xml:space="preserve">Domanda idrogeno - Trasporti</t>
  </si>
  <si>
    <t xml:space="preserve">Tecnologie di domanda</t>
  </si>
  <si>
    <t xml:space="preserve">Quote non elettriche = quota combustibile / somma quote non elettriche ESCLUSO H2 (formule su INPUT). H2 ha processi dedicati DMD_H2_* (DAYNITE).</t>
  </si>
  <si>
    <t xml:space="preserve">~FI_T</t>
  </si>
  <si>
    <t xml:space="preserve">*TechDesc</t>
  </si>
  <si>
    <t xml:space="preserve">Comm-IN</t>
  </si>
  <si>
    <t xml:space="preserve">Comm-OUT</t>
  </si>
  <si>
    <t xml:space="preserve">Share-I~2023</t>
  </si>
  <si>
    <t xml:space="preserve">Share-I~2025</t>
  </si>
  <si>
    <t xml:space="preserve">Share-I~2030</t>
  </si>
  <si>
    <t xml:space="preserve">Share-I~2035</t>
  </si>
  <si>
    <t xml:space="preserve">Share-I~2040</t>
  </si>
  <si>
    <t xml:space="preserve">Share-I~2045</t>
  </si>
  <si>
    <t xml:space="preserve">Share-I~2050</t>
  </si>
  <si>
    <t xml:space="preserve">EFF</t>
  </si>
  <si>
    <t xml:space="preserve">CAP2ACT</t>
  </si>
  <si>
    <t xml:space="preserve">\I: Technology Name</t>
  </si>
  <si>
    <t xml:space="preserve">Commodity Input</t>
  </si>
  <si>
    <t xml:space="preserve">Commodity Output</t>
  </si>
  <si>
    <t xml:space="preserve">Quota input FX</t>
  </si>
  <si>
    <t xml:space="preserve">Efficiency</t>
  </si>
  <si>
    <t xml:space="preserve">Cap to Act</t>
  </si>
  <si>
    <t xml:space="preserve">Domanda di servizio</t>
  </si>
  <si>
    <t xml:space="preserve">DEM_ELC = totale x quota elettrica ; DEM_FUEL = totale x quote non elettriche escluso H2 ; DEM_H2 = totale x quota H2</t>
  </si>
  <si>
    <t xml:space="preserve">~FI_T:DEMAND</t>
  </si>
  <si>
    <t xml:space="preserve">\I: Commodity Name</t>
  </si>
  <si>
    <t xml:space="preserve">Annual Demand [PJ/a]</t>
  </si>
  <si>
    <t xml:space="preserve">Controllo: ELC+FUEL(+H2) - totale (deve essere 0)</t>
  </si>
  <si>
    <t xml:space="preserve">Fattori di emissione per combustibile [kt/PJ]</t>
  </si>
  <si>
    <t xml:space="preserve">~PRCCOMEMI</t>
  </si>
  <si>
    <t xml:space="preserve">Commodity Name (Pollutant)</t>
  </si>
  <si>
    <t xml:space="preserve">kt/PJ</t>
  </si>
  <si>
    <t xml:space="preserve">CO2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</si>
</sst>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00"/>
    <numFmt numFmtId="167" formatCode="0.0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rgb="FF0070C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2" min="2" style="0" width="120"/>
  </cols>
  <sheetData>
    <row r="2" customFormat="false" ht="15.75" hidden="false" customHeight="true" outlineLevel="0" collapsed="false">
      <c r="B2" s="1" t="s">
        <v>0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2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/>
    </row>
    <row r="8" customFormat="false" ht="15" hidden="false" customHeight="false" outlineLevel="0" collapsed="false">
      <c r="B8" s="2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2" t="s">
        <v>15</v>
      </c>
    </row>
    <row r="22" customFormat="false" ht="15" hidden="false" customHeight="false" outlineLevel="0" collapsed="false">
      <c r="B22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11" min="4" style="0" width="11"/>
  </cols>
  <sheetData>
    <row r="2" customFormat="false" ht="15.75" hidden="false" customHeight="true" outlineLevel="0" collapsed="false">
      <c r="B2" s="1" t="s">
        <v>17</v>
      </c>
    </row>
    <row r="3" customFormat="false" ht="15" hidden="false" customHeight="false" outlineLevel="0" collapsed="false">
      <c r="B3" s="3" t="s">
        <v>18</v>
      </c>
    </row>
    <row r="4" customFormat="false" ht="15" hidden="false" customHeight="false" outlineLevel="0" collapsed="false">
      <c r="B4" s="4" t="s">
        <v>19</v>
      </c>
    </row>
    <row r="5" customFormat="false" ht="15" hidden="false" customHeight="false" outlineLevel="0" collapsed="false"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</row>
    <row r="6" customFormat="false" ht="15" hidden="false" customHeight="false" outlineLevel="0" collapsed="false">
      <c r="B6" s="2" t="s">
        <v>28</v>
      </c>
      <c r="C6" s="6" t="n">
        <v>14.3858232394366</v>
      </c>
      <c r="D6" s="6" t="n">
        <v>13.7402413732396</v>
      </c>
      <c r="E6" s="6" t="n">
        <v>13.488017659805</v>
      </c>
      <c r="F6" s="6" t="n">
        <v>13.6119939463706</v>
      </c>
      <c r="G6" s="6" t="n">
        <v>14.6054102329361</v>
      </c>
      <c r="H6" s="6" t="n">
        <v>16.1296865195017</v>
      </c>
      <c r="I6" s="6" t="n">
        <v>17.6539628060672</v>
      </c>
    </row>
    <row r="7" customFormat="false" ht="15" hidden="false" customHeight="false" outlineLevel="0" collapsed="false">
      <c r="B7" s="2" t="s">
        <v>29</v>
      </c>
      <c r="C7" s="6" t="n">
        <v>23.436112172</v>
      </c>
      <c r="D7" s="6" t="n">
        <v>24.54754366</v>
      </c>
      <c r="E7" s="6" t="n">
        <v>26.40701907</v>
      </c>
      <c r="F7" s="6" t="n">
        <v>28.26649448</v>
      </c>
      <c r="G7" s="6" t="n">
        <v>30.49989655</v>
      </c>
      <c r="H7" s="6" t="n">
        <v>35.82674032</v>
      </c>
      <c r="I7" s="6" t="n">
        <v>41.63036132</v>
      </c>
    </row>
    <row r="8" customFormat="false" ht="15" hidden="false" customHeight="false" outlineLevel="0" collapsed="false">
      <c r="B8" s="2" t="s">
        <v>30</v>
      </c>
      <c r="C8" s="6" t="n">
        <v>9.952162</v>
      </c>
      <c r="D8" s="6" t="n">
        <v>10.136709</v>
      </c>
      <c r="E8" s="6" t="n">
        <v>11.0477078461538</v>
      </c>
      <c r="F8" s="6" t="n">
        <v>11.9587066923077</v>
      </c>
      <c r="G8" s="6" t="n">
        <v>12.8697055384615</v>
      </c>
      <c r="H8" s="6" t="n">
        <v>13.7807043846154</v>
      </c>
      <c r="I8" s="6" t="n">
        <v>14.6917032307692</v>
      </c>
    </row>
    <row r="9" customFormat="false" ht="15" hidden="false" customHeight="false" outlineLevel="0" collapsed="false">
      <c r="B9" s="2" t="s">
        <v>31</v>
      </c>
      <c r="C9" s="6" t="n">
        <v>4.097776056</v>
      </c>
      <c r="D9" s="6" t="n">
        <v>4.32413308799999</v>
      </c>
      <c r="E9" s="6" t="n">
        <v>5.14068465297896</v>
      </c>
      <c r="F9" s="6" t="n">
        <v>5.86315773171584</v>
      </c>
      <c r="G9" s="6" t="n">
        <v>6.65278241472977</v>
      </c>
      <c r="H9" s="6" t="n">
        <v>7.74757454226213</v>
      </c>
      <c r="I9" s="6" t="n">
        <v>8.8593188176897</v>
      </c>
    </row>
    <row r="10" customFormat="false" ht="15" hidden="false" customHeight="false" outlineLevel="0" collapsed="false">
      <c r="B10" s="2" t="s">
        <v>32</v>
      </c>
      <c r="C10" s="6" t="n">
        <v>34.5472674149936</v>
      </c>
      <c r="D10" s="6" t="n">
        <v>35.4520179199999</v>
      </c>
      <c r="E10" s="6" t="n">
        <v>39.9601901626104</v>
      </c>
      <c r="F10" s="6" t="n">
        <v>43.890174909795</v>
      </c>
      <c r="G10" s="6" t="n">
        <v>47.8064988585109</v>
      </c>
      <c r="H10" s="6" t="n">
        <v>52.1218898906183</v>
      </c>
      <c r="I10" s="6" t="n">
        <v>56.1706133682342</v>
      </c>
    </row>
    <row r="13" customFormat="false" ht="15" hidden="false" customHeight="false" outlineLevel="0" collapsed="false">
      <c r="B13" s="4" t="s">
        <v>33</v>
      </c>
    </row>
    <row r="14" customFormat="false" ht="15" hidden="false" customHeight="false" outlineLevel="0" collapsed="false">
      <c r="B14" s="5" t="s">
        <v>20</v>
      </c>
      <c r="C14" s="5" t="s">
        <v>34</v>
      </c>
      <c r="D14" s="5" t="s">
        <v>21</v>
      </c>
      <c r="E14" s="5" t="s">
        <v>22</v>
      </c>
      <c r="F14" s="5" t="s">
        <v>23</v>
      </c>
      <c r="G14" s="5" t="s">
        <v>24</v>
      </c>
      <c r="H14" s="5" t="s">
        <v>25</v>
      </c>
      <c r="I14" s="5" t="s">
        <v>26</v>
      </c>
      <c r="J14" s="5" t="s">
        <v>27</v>
      </c>
      <c r="K14" s="5" t="s">
        <v>35</v>
      </c>
    </row>
    <row r="15" customFormat="false" ht="15" hidden="false" customHeight="false" outlineLevel="0" collapsed="false">
      <c r="B15" s="2" t="s">
        <v>28</v>
      </c>
      <c r="C15" s="2" t="s">
        <v>36</v>
      </c>
      <c r="D15" s="7" t="n">
        <v>0.559795786824362</v>
      </c>
      <c r="E15" s="7" t="n">
        <v>0.58</v>
      </c>
      <c r="F15" s="7" t="n">
        <v>0.62</v>
      </c>
      <c r="G15" s="7" t="n">
        <v>0.66</v>
      </c>
      <c r="H15" s="7" t="n">
        <v>0.7</v>
      </c>
      <c r="I15" s="7" t="n">
        <v>0.74</v>
      </c>
      <c r="J15" s="7" t="n">
        <v>0.79</v>
      </c>
      <c r="K15" s="2" t="s">
        <v>37</v>
      </c>
    </row>
    <row r="16" customFormat="false" ht="15" hidden="false" customHeight="false" outlineLevel="0" collapsed="false">
      <c r="B16" s="2" t="s">
        <v>28</v>
      </c>
      <c r="C16" s="2" t="s">
        <v>38</v>
      </c>
      <c r="D16" s="7" t="n">
        <v>0.0842635127530924</v>
      </c>
      <c r="E16" s="7" t="n">
        <v>0.02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2" t="s">
        <v>39</v>
      </c>
    </row>
    <row r="17" customFormat="false" ht="15" hidden="false" customHeight="false" outlineLevel="0" collapsed="false">
      <c r="B17" s="2" t="s">
        <v>28</v>
      </c>
      <c r="C17" s="2" t="s">
        <v>40</v>
      </c>
      <c r="D17" s="7" t="n">
        <v>0.260926325697507</v>
      </c>
      <c r="E17" s="7" t="n">
        <v>0.23</v>
      </c>
      <c r="F17" s="7" t="n">
        <v>0.2</v>
      </c>
      <c r="G17" s="7" t="n">
        <v>0.16</v>
      </c>
      <c r="H17" s="7" t="n">
        <v>0.12</v>
      </c>
      <c r="I17" s="7" t="n">
        <v>0.05</v>
      </c>
      <c r="J17" s="7" t="n">
        <v>0</v>
      </c>
      <c r="K17" s="2" t="s">
        <v>39</v>
      </c>
    </row>
    <row r="18" customFormat="false" ht="15" hidden="false" customHeight="false" outlineLevel="0" collapsed="false">
      <c r="B18" s="2" t="s">
        <v>28</v>
      </c>
      <c r="C18" s="2" t="s">
        <v>41</v>
      </c>
      <c r="D18" s="7" t="n">
        <v>0.0950143747250386</v>
      </c>
      <c r="E18" s="7" t="n">
        <v>0.17</v>
      </c>
      <c r="F18" s="7" t="n">
        <v>0.18</v>
      </c>
      <c r="G18" s="7" t="n">
        <v>0.18</v>
      </c>
      <c r="H18" s="7" t="n">
        <v>0.18</v>
      </c>
      <c r="I18" s="7" t="n">
        <v>0.21</v>
      </c>
      <c r="J18" s="7" t="n">
        <v>0.21</v>
      </c>
      <c r="K18" s="2" t="s">
        <v>39</v>
      </c>
    </row>
    <row r="19" customFormat="false" ht="15" hidden="false" customHeight="false" outlineLevel="0" collapsed="false">
      <c r="C19" s="3" t="s">
        <v>42</v>
      </c>
      <c r="D19" s="8" t="n">
        <f aca="false">SUM(D15:D18)</f>
        <v>1</v>
      </c>
      <c r="E19" s="8" t="n">
        <f aca="false">SUM(E15:E18)</f>
        <v>1</v>
      </c>
      <c r="F19" s="8" t="n">
        <f aca="false">SUM(F15:F18)</f>
        <v>1</v>
      </c>
      <c r="G19" s="8" t="n">
        <f aca="false">SUM(G15:G18)</f>
        <v>1</v>
      </c>
      <c r="H19" s="8" t="n">
        <f aca="false">SUM(H15:H18)</f>
        <v>1</v>
      </c>
      <c r="I19" s="8" t="n">
        <f aca="false">SUM(I15:I18)</f>
        <v>1</v>
      </c>
      <c r="J19" s="8" t="n">
        <f aca="false">SUM(J15:J18)</f>
        <v>1</v>
      </c>
    </row>
    <row r="21" customFormat="false" ht="15" hidden="false" customHeight="false" outlineLevel="0" collapsed="false">
      <c r="B21" s="2" t="s">
        <v>29</v>
      </c>
      <c r="C21" s="2" t="s">
        <v>36</v>
      </c>
      <c r="D21" s="7" t="n">
        <v>0.463045552095327</v>
      </c>
      <c r="E21" s="7" t="n">
        <v>0.41</v>
      </c>
      <c r="F21" s="7" t="n">
        <v>0.52</v>
      </c>
      <c r="G21" s="7" t="n">
        <v>0.62</v>
      </c>
      <c r="H21" s="7" t="n">
        <v>0.68</v>
      </c>
      <c r="I21" s="7" t="n">
        <v>0.75</v>
      </c>
      <c r="J21" s="7" t="n">
        <v>0.75</v>
      </c>
      <c r="K21" s="2" t="s">
        <v>37</v>
      </c>
    </row>
    <row r="22" customFormat="false" ht="15" hidden="false" customHeight="false" outlineLevel="0" collapsed="false">
      <c r="B22" s="2" t="s">
        <v>29</v>
      </c>
      <c r="C22" s="2" t="s">
        <v>38</v>
      </c>
      <c r="D22" s="7" t="n">
        <v>0.0257179951627231</v>
      </c>
      <c r="E22" s="7" t="n">
        <v>0.02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2" t="s">
        <v>39</v>
      </c>
    </row>
    <row r="23" customFormat="false" ht="15" hidden="false" customHeight="false" outlineLevel="0" collapsed="false">
      <c r="B23" s="2" t="s">
        <v>29</v>
      </c>
      <c r="C23" s="2" t="s">
        <v>43</v>
      </c>
      <c r="D23" s="7" t="n">
        <v>0.0830969276136095</v>
      </c>
      <c r="E23" s="7" t="n">
        <v>0.09</v>
      </c>
      <c r="F23" s="7" t="n">
        <v>0.09</v>
      </c>
      <c r="G23" s="7" t="n">
        <v>0</v>
      </c>
      <c r="H23" s="7" t="n">
        <v>0</v>
      </c>
      <c r="I23" s="7" t="n">
        <v>0</v>
      </c>
      <c r="J23" s="7" t="n">
        <v>0</v>
      </c>
      <c r="K23" s="2" t="s">
        <v>39</v>
      </c>
    </row>
    <row r="24" customFormat="false" ht="15" hidden="false" customHeight="false" outlineLevel="0" collapsed="false">
      <c r="B24" s="2" t="s">
        <v>29</v>
      </c>
      <c r="C24" s="2" t="s">
        <v>40</v>
      </c>
      <c r="D24" s="7" t="n">
        <v>0.0833559842838027</v>
      </c>
      <c r="E24" s="7" t="n">
        <v>0.12</v>
      </c>
      <c r="F24" s="7" t="n">
        <v>0.1</v>
      </c>
      <c r="G24" s="7" t="n">
        <v>0.08</v>
      </c>
      <c r="H24" s="7" t="n">
        <v>0</v>
      </c>
      <c r="I24" s="7" t="n">
        <v>0</v>
      </c>
      <c r="J24" s="7" t="n">
        <v>0</v>
      </c>
      <c r="K24" s="2" t="s">
        <v>39</v>
      </c>
    </row>
    <row r="25" customFormat="false" ht="15" hidden="false" customHeight="false" outlineLevel="0" collapsed="false">
      <c r="B25" s="2" t="s">
        <v>29</v>
      </c>
      <c r="C25" s="2" t="s">
        <v>44</v>
      </c>
      <c r="D25" s="7" t="n">
        <v>0.0992809491830835</v>
      </c>
      <c r="E25" s="7" t="n">
        <v>0.05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2" t="s">
        <v>39</v>
      </c>
    </row>
    <row r="26" customFormat="false" ht="15" hidden="false" customHeight="false" outlineLevel="0" collapsed="false">
      <c r="B26" s="2" t="s">
        <v>29</v>
      </c>
      <c r="C26" s="2" t="s">
        <v>41</v>
      </c>
      <c r="D26" s="7" t="n">
        <v>0</v>
      </c>
      <c r="E26" s="7" t="n">
        <v>0.03</v>
      </c>
      <c r="F26" s="7" t="n">
        <v>0.05</v>
      </c>
      <c r="G26" s="7" t="n">
        <v>0.1</v>
      </c>
      <c r="H26" s="7" t="n">
        <v>0.2</v>
      </c>
      <c r="I26" s="7" t="n">
        <v>0.21</v>
      </c>
      <c r="J26" s="7" t="n">
        <v>0.25</v>
      </c>
      <c r="K26" s="2" t="s">
        <v>39</v>
      </c>
    </row>
    <row r="27" customFormat="false" ht="15" hidden="false" customHeight="false" outlineLevel="0" collapsed="false">
      <c r="B27" s="2" t="s">
        <v>29</v>
      </c>
      <c r="C27" s="2" t="s">
        <v>45</v>
      </c>
      <c r="D27" s="7" t="n">
        <v>0.245502591661454</v>
      </c>
      <c r="E27" s="7" t="n">
        <v>0.28</v>
      </c>
      <c r="F27" s="7" t="n">
        <v>0.24</v>
      </c>
      <c r="G27" s="7" t="n">
        <v>0.2</v>
      </c>
      <c r="H27" s="7" t="n">
        <v>0.12</v>
      </c>
      <c r="I27" s="7" t="n">
        <v>0.04</v>
      </c>
      <c r="J27" s="7" t="n">
        <v>0</v>
      </c>
      <c r="K27" s="2" t="s">
        <v>39</v>
      </c>
    </row>
    <row r="28" customFormat="false" ht="15" hidden="false" customHeight="false" outlineLevel="0" collapsed="false">
      <c r="C28" s="3" t="s">
        <v>42</v>
      </c>
      <c r="D28" s="8" t="n">
        <f aca="false">SUM(D21:D27)</f>
        <v>1</v>
      </c>
      <c r="E28" s="8" t="n">
        <f aca="false">SUM(E21:E27)</f>
        <v>1</v>
      </c>
      <c r="F28" s="8" t="n">
        <f aca="false">SUM(F21:F27)</f>
        <v>1</v>
      </c>
      <c r="G28" s="8" t="n">
        <f aca="false">SUM(G21:G27)</f>
        <v>1</v>
      </c>
      <c r="H28" s="8" t="n">
        <f aca="false">SUM(H21:H27)</f>
        <v>1</v>
      </c>
      <c r="I28" s="8" t="n">
        <f aca="false">SUM(I21:I27)</f>
        <v>1</v>
      </c>
      <c r="J28" s="8" t="n">
        <f aca="false">SUM(J21:J27)</f>
        <v>1</v>
      </c>
    </row>
    <row r="30" customFormat="false" ht="15" hidden="false" customHeight="false" outlineLevel="0" collapsed="false">
      <c r="B30" s="2" t="s">
        <v>30</v>
      </c>
      <c r="C30" s="2" t="s">
        <v>36</v>
      </c>
      <c r="D30" s="7" t="n">
        <v>0.764794825486161</v>
      </c>
      <c r="E30" s="7" t="n">
        <v>0.73</v>
      </c>
      <c r="F30" s="7" t="n">
        <v>0.78</v>
      </c>
      <c r="G30" s="7" t="n">
        <v>0.84</v>
      </c>
      <c r="H30" s="7" t="n">
        <v>0.89</v>
      </c>
      <c r="I30" s="7" t="n">
        <v>0.91</v>
      </c>
      <c r="J30" s="7" t="n">
        <v>0.91</v>
      </c>
      <c r="K30" s="2" t="s">
        <v>37</v>
      </c>
    </row>
    <row r="31" customFormat="false" ht="15" hidden="false" customHeight="false" outlineLevel="0" collapsed="false">
      <c r="B31" s="2" t="s">
        <v>30</v>
      </c>
      <c r="C31" s="2" t="s">
        <v>38</v>
      </c>
      <c r="D31" s="7" t="n">
        <v>0.0924020328447226</v>
      </c>
      <c r="E31" s="7" t="n">
        <v>0.09</v>
      </c>
      <c r="F31" s="7" t="n">
        <v>0.04</v>
      </c>
      <c r="G31" s="7" t="n">
        <v>0</v>
      </c>
      <c r="H31" s="7" t="n">
        <v>0</v>
      </c>
      <c r="I31" s="7" t="n">
        <v>0</v>
      </c>
      <c r="J31" s="7" t="n">
        <v>0</v>
      </c>
      <c r="K31" s="2" t="s">
        <v>39</v>
      </c>
    </row>
    <row r="32" customFormat="false" ht="15" hidden="false" customHeight="false" outlineLevel="0" collapsed="false">
      <c r="B32" s="2" t="s">
        <v>30</v>
      </c>
      <c r="C32" s="2" t="s">
        <v>40</v>
      </c>
      <c r="D32" s="7" t="n">
        <v>0.142803141669117</v>
      </c>
      <c r="E32" s="7" t="n">
        <v>0.16</v>
      </c>
      <c r="F32" s="7" t="n">
        <v>0.12</v>
      </c>
      <c r="G32" s="7" t="n">
        <v>0.04</v>
      </c>
      <c r="H32" s="7" t="n">
        <v>0</v>
      </c>
      <c r="I32" s="7" t="n">
        <v>0</v>
      </c>
      <c r="J32" s="7" t="n">
        <v>0</v>
      </c>
      <c r="K32" s="2" t="s">
        <v>39</v>
      </c>
    </row>
    <row r="33" customFormat="false" ht="15" hidden="false" customHeight="false" outlineLevel="0" collapsed="false">
      <c r="B33" s="2" t="s">
        <v>30</v>
      </c>
      <c r="C33" s="2" t="s">
        <v>41</v>
      </c>
      <c r="D33" s="7" t="n">
        <v>0</v>
      </c>
      <c r="E33" s="7" t="n">
        <v>0.02</v>
      </c>
      <c r="F33" s="7" t="n">
        <v>0.06</v>
      </c>
      <c r="G33" s="7" t="n">
        <v>0.12</v>
      </c>
      <c r="H33" s="7" t="n">
        <v>0.11</v>
      </c>
      <c r="I33" s="7" t="n">
        <v>0.09</v>
      </c>
      <c r="J33" s="7" t="n">
        <v>0.09</v>
      </c>
      <c r="K33" s="2" t="s">
        <v>39</v>
      </c>
    </row>
    <row r="34" customFormat="false" ht="15" hidden="false" customHeight="false" outlineLevel="0" collapsed="false">
      <c r="C34" s="3" t="s">
        <v>42</v>
      </c>
      <c r="D34" s="8" t="n">
        <f aca="false">SUM(D30:D33)</f>
        <v>1</v>
      </c>
      <c r="E34" s="8" t="n">
        <f aca="false">SUM(E30:E33)</f>
        <v>1</v>
      </c>
      <c r="F34" s="8" t="n">
        <f aca="false">SUM(F30:F33)</f>
        <v>1</v>
      </c>
      <c r="G34" s="8" t="n">
        <f aca="false">SUM(G30:G33)</f>
        <v>1</v>
      </c>
      <c r="H34" s="8" t="n">
        <f aca="false">SUM(H30:H33)</f>
        <v>1</v>
      </c>
      <c r="I34" s="8" t="n">
        <f aca="false">SUM(I30:I33)</f>
        <v>1</v>
      </c>
      <c r="J34" s="8" t="n">
        <f aca="false">SUM(J30:J33)</f>
        <v>1</v>
      </c>
    </row>
    <row r="36" customFormat="false" ht="15" hidden="false" customHeight="false" outlineLevel="0" collapsed="false">
      <c r="B36" s="2" t="s">
        <v>31</v>
      </c>
      <c r="C36" s="2" t="s">
        <v>38</v>
      </c>
      <c r="D36" s="7" t="n">
        <v>0.203503068153025</v>
      </c>
      <c r="E36" s="7" t="n">
        <v>0.94</v>
      </c>
      <c r="F36" s="7" t="n">
        <v>0.8</v>
      </c>
      <c r="G36" s="7" t="n">
        <v>0.65</v>
      </c>
      <c r="H36" s="7" t="n">
        <v>0.49</v>
      </c>
      <c r="I36" s="7" t="n">
        <v>0.37</v>
      </c>
      <c r="J36" s="7" t="n">
        <v>0.2</v>
      </c>
      <c r="K36" s="2" t="s">
        <v>39</v>
      </c>
    </row>
    <row r="37" customFormat="false" ht="15" hidden="false" customHeight="false" outlineLevel="0" collapsed="false">
      <c r="B37" s="2" t="s">
        <v>31</v>
      </c>
      <c r="C37" s="2" t="s">
        <v>36</v>
      </c>
      <c r="D37" s="7" t="n">
        <v>0.796496931846976</v>
      </c>
      <c r="E37" s="7" t="n">
        <v>0.06</v>
      </c>
      <c r="F37" s="7" t="n">
        <v>0.11</v>
      </c>
      <c r="G37" s="7" t="n">
        <v>0.14</v>
      </c>
      <c r="H37" s="7" t="n">
        <v>0.21</v>
      </c>
      <c r="I37" s="7" t="n">
        <v>0.25</v>
      </c>
      <c r="J37" s="7" t="n">
        <v>0.3</v>
      </c>
      <c r="K37" s="2" t="s">
        <v>37</v>
      </c>
    </row>
    <row r="38" customFormat="false" ht="15" hidden="false" customHeight="false" outlineLevel="0" collapsed="false">
      <c r="B38" s="2" t="s">
        <v>31</v>
      </c>
      <c r="C38" s="2" t="s">
        <v>41</v>
      </c>
      <c r="D38" s="7" t="n">
        <v>0</v>
      </c>
      <c r="E38" s="7" t="n">
        <v>0</v>
      </c>
      <c r="F38" s="7" t="n">
        <v>0.06</v>
      </c>
      <c r="G38" s="7" t="n">
        <v>0.12</v>
      </c>
      <c r="H38" s="7" t="n">
        <v>0.14</v>
      </c>
      <c r="I38" s="7" t="n">
        <v>0.19</v>
      </c>
      <c r="J38" s="7" t="n">
        <v>0.25</v>
      </c>
      <c r="K38" s="2" t="s">
        <v>39</v>
      </c>
    </row>
    <row r="39" customFormat="false" ht="15" hidden="false" customHeight="false" outlineLevel="0" collapsed="false">
      <c r="B39" s="2" t="s">
        <v>31</v>
      </c>
      <c r="C39" s="2" t="s">
        <v>46</v>
      </c>
      <c r="D39" s="7" t="n">
        <v>0</v>
      </c>
      <c r="E39" s="7" t="n">
        <v>0</v>
      </c>
      <c r="F39" s="7" t="n">
        <v>0.03</v>
      </c>
      <c r="G39" s="7" t="n">
        <v>0.09</v>
      </c>
      <c r="H39" s="7" t="n">
        <v>0.16</v>
      </c>
      <c r="I39" s="7" t="n">
        <v>0.19</v>
      </c>
      <c r="J39" s="7" t="n">
        <v>0.25</v>
      </c>
      <c r="K39" s="2" t="s">
        <v>39</v>
      </c>
    </row>
    <row r="40" customFormat="false" ht="15" hidden="false" customHeight="false" outlineLevel="0" collapsed="false">
      <c r="C40" s="3" t="s">
        <v>42</v>
      </c>
      <c r="D40" s="8" t="n">
        <f aca="false">SUM(D36:D39)</f>
        <v>1</v>
      </c>
      <c r="E40" s="8" t="n">
        <f aca="false">SUM(E36:E39)</f>
        <v>1</v>
      </c>
      <c r="F40" s="8" t="n">
        <f aca="false">SUM(F36:F39)</f>
        <v>1</v>
      </c>
      <c r="G40" s="8" t="n">
        <f aca="false">SUM(G36:G39)</f>
        <v>1</v>
      </c>
      <c r="H40" s="8" t="n">
        <f aca="false">SUM(H36:H39)</f>
        <v>1</v>
      </c>
      <c r="I40" s="8" t="n">
        <f aca="false">SUM(I36:I39)</f>
        <v>1</v>
      </c>
      <c r="J40" s="8" t="n">
        <f aca="false">SUM(J36:J39)</f>
        <v>1</v>
      </c>
    </row>
    <row r="42" customFormat="false" ht="15" hidden="false" customHeight="false" outlineLevel="0" collapsed="false">
      <c r="B42" s="2" t="s">
        <v>32</v>
      </c>
      <c r="C42" s="2" t="s">
        <v>43</v>
      </c>
      <c r="D42" s="7" t="n">
        <v>0.417364197432237</v>
      </c>
      <c r="E42" s="7" t="n">
        <v>0.38</v>
      </c>
      <c r="F42" s="7" t="n">
        <v>0.38</v>
      </c>
      <c r="G42" s="7" t="n">
        <v>0.34</v>
      </c>
      <c r="H42" s="7" t="n">
        <v>0.28</v>
      </c>
      <c r="I42" s="7" t="n">
        <v>0.2</v>
      </c>
      <c r="J42" s="7" t="n">
        <v>0.1</v>
      </c>
      <c r="K42" s="2" t="s">
        <v>39</v>
      </c>
    </row>
    <row r="43" customFormat="false" ht="15" hidden="false" customHeight="false" outlineLevel="0" collapsed="false">
      <c r="B43" s="2" t="s">
        <v>32</v>
      </c>
      <c r="C43" s="2" t="s">
        <v>38</v>
      </c>
      <c r="D43" s="7" t="n">
        <v>0.549998706739449</v>
      </c>
      <c r="E43" s="7" t="n">
        <v>0.59</v>
      </c>
      <c r="F43" s="7" t="n">
        <v>0.5</v>
      </c>
      <c r="G43" s="7" t="n">
        <v>0.45</v>
      </c>
      <c r="H43" s="7" t="n">
        <v>0.35</v>
      </c>
      <c r="I43" s="7" t="n">
        <v>0.27</v>
      </c>
      <c r="J43" s="7" t="n">
        <v>0.12</v>
      </c>
      <c r="K43" s="2" t="s">
        <v>39</v>
      </c>
    </row>
    <row r="44" customFormat="false" ht="15" hidden="false" customHeight="false" outlineLevel="0" collapsed="false">
      <c r="B44" s="2" t="s">
        <v>32</v>
      </c>
      <c r="C44" s="2" t="s">
        <v>40</v>
      </c>
      <c r="D44" s="7" t="n">
        <v>0.0192029488346719</v>
      </c>
      <c r="E44" s="7" t="n">
        <v>0.02</v>
      </c>
      <c r="F44" s="7" t="n">
        <v>0.04</v>
      </c>
      <c r="G44" s="7" t="n">
        <v>0.05</v>
      </c>
      <c r="H44" s="7" t="n">
        <v>0.06</v>
      </c>
      <c r="I44" s="7" t="n">
        <v>0.06</v>
      </c>
      <c r="J44" s="7" t="n">
        <v>0.06</v>
      </c>
      <c r="K44" s="2" t="s">
        <v>39</v>
      </c>
    </row>
    <row r="45" customFormat="false" ht="15" hidden="false" customHeight="false" outlineLevel="0" collapsed="false">
      <c r="B45" s="2" t="s">
        <v>32</v>
      </c>
      <c r="C45" s="2" t="s">
        <v>36</v>
      </c>
      <c r="D45" s="7" t="n">
        <v>0.0134341469936421</v>
      </c>
      <c r="E45" s="7" t="n">
        <v>0.01</v>
      </c>
      <c r="F45" s="7" t="n">
        <v>0.05</v>
      </c>
      <c r="G45" s="7" t="n">
        <v>0.07</v>
      </c>
      <c r="H45" s="7" t="n">
        <v>0.13</v>
      </c>
      <c r="I45" s="7" t="n">
        <v>0.21</v>
      </c>
      <c r="J45" s="7" t="n">
        <v>0.35</v>
      </c>
      <c r="K45" s="2" t="s">
        <v>37</v>
      </c>
    </row>
    <row r="46" customFormat="false" ht="15" hidden="false" customHeight="false" outlineLevel="0" collapsed="false">
      <c r="B46" s="2" t="s">
        <v>32</v>
      </c>
      <c r="C46" s="2" t="s">
        <v>41</v>
      </c>
      <c r="D46" s="7" t="n">
        <v>0</v>
      </c>
      <c r="E46" s="7" t="n">
        <v>0</v>
      </c>
      <c r="F46" s="7" t="n">
        <v>0.02</v>
      </c>
      <c r="G46" s="7" t="n">
        <v>0.04</v>
      </c>
      <c r="H46" s="7" t="n">
        <v>0.1</v>
      </c>
      <c r="I46" s="7" t="n">
        <v>0.12</v>
      </c>
      <c r="J46" s="7" t="n">
        <v>0.18</v>
      </c>
      <c r="K46" s="2" t="s">
        <v>39</v>
      </c>
    </row>
    <row r="47" customFormat="false" ht="15" hidden="false" customHeight="false" outlineLevel="0" collapsed="false">
      <c r="B47" s="2" t="s">
        <v>32</v>
      </c>
      <c r="C47" s="2" t="s">
        <v>46</v>
      </c>
      <c r="D47" s="7" t="n">
        <v>0</v>
      </c>
      <c r="E47" s="7" t="n">
        <v>0</v>
      </c>
      <c r="F47" s="7" t="n">
        <v>0.01</v>
      </c>
      <c r="G47" s="7" t="n">
        <v>0.05</v>
      </c>
      <c r="H47" s="7" t="n">
        <v>0.08</v>
      </c>
      <c r="I47" s="7" t="n">
        <v>0.14</v>
      </c>
      <c r="J47" s="7" t="n">
        <v>0.19</v>
      </c>
      <c r="K47" s="2" t="s">
        <v>39</v>
      </c>
    </row>
    <row r="48" customFormat="false" ht="15" hidden="false" customHeight="false" outlineLevel="0" collapsed="false">
      <c r="C48" s="3" t="s">
        <v>42</v>
      </c>
      <c r="D48" s="8" t="n">
        <f aca="false">SUM(D42:D47)</f>
        <v>1</v>
      </c>
      <c r="E48" s="8" t="n">
        <f aca="false">SUM(E42:E47)</f>
        <v>1</v>
      </c>
      <c r="F48" s="8" t="n">
        <f aca="false">SUM(F42:F47)</f>
        <v>1</v>
      </c>
      <c r="G48" s="8" t="n">
        <f aca="false">SUM(G42:G47)</f>
        <v>1</v>
      </c>
      <c r="H48" s="8" t="n">
        <f aca="false">SUM(H42:H47)</f>
        <v>1</v>
      </c>
      <c r="I48" s="8" t="n">
        <f aca="false">SUM(I42:I47)</f>
        <v>1</v>
      </c>
      <c r="J48" s="8" t="n">
        <f aca="false">SUM(J42:J47)</f>
        <v>1</v>
      </c>
    </row>
    <row r="50" customFormat="false" ht="15" hidden="false" customHeight="false" outlineLevel="0" collapsed="false">
      <c r="B50" s="4" t="s">
        <v>47</v>
      </c>
    </row>
    <row r="51" customFormat="false" ht="15" hidden="false" customHeight="false" outlineLevel="0" collapsed="false">
      <c r="B51" s="5" t="s">
        <v>38</v>
      </c>
      <c r="C51" s="5" t="s">
        <v>40</v>
      </c>
      <c r="D51" s="5" t="s">
        <v>41</v>
      </c>
      <c r="E51" s="5" t="s">
        <v>43</v>
      </c>
      <c r="F51" s="5" t="s">
        <v>44</v>
      </c>
      <c r="G51" s="5" t="s">
        <v>45</v>
      </c>
    </row>
    <row r="52" customFormat="false" ht="15" hidden="false" customHeight="false" outlineLevel="0" collapsed="false">
      <c r="B52" s="9" t="n">
        <v>74.1</v>
      </c>
      <c r="C52" s="9" t="n">
        <v>63.1</v>
      </c>
      <c r="D52" s="9" t="n">
        <v>56.1</v>
      </c>
      <c r="E52" s="9" t="n">
        <v>69.3</v>
      </c>
      <c r="F52" s="9" t="n">
        <v>77.4</v>
      </c>
      <c r="G52" s="9" t="n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7" activeCellId="0" sqref="D27"/>
    </sheetView>
  </sheetViews>
  <sheetFormatPr defaultColWidth="8.71484375" defaultRowHeight="15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48"/>
    <col collapsed="false" customWidth="true" hidden="false" outlineLevel="0" max="5" min="5" style="0" width="7"/>
    <col collapsed="false" customWidth="true" hidden="false" outlineLevel="0" max="9" min="6" style="0" width="10"/>
  </cols>
  <sheetData>
    <row r="2" customFormat="false" ht="15.75" hidden="false" customHeight="true" outlineLevel="0" collapsed="false">
      <c r="B2" s="1" t="s">
        <v>48</v>
      </c>
    </row>
    <row r="4" customFormat="false" ht="15" hidden="false" customHeight="false" outlineLevel="0" collapsed="false">
      <c r="B4" s="10" t="s">
        <v>49</v>
      </c>
    </row>
    <row r="5" customFormat="false" ht="15" hidden="false" customHeight="false" outlineLevel="0" collapsed="false">
      <c r="B5" s="5" t="s">
        <v>50</v>
      </c>
      <c r="C5" s="5" t="s">
        <v>51</v>
      </c>
      <c r="D5" s="5" t="s">
        <v>52</v>
      </c>
      <c r="E5" s="5" t="s">
        <v>53</v>
      </c>
      <c r="F5" s="5" t="s">
        <v>54</v>
      </c>
      <c r="G5" s="5" t="s">
        <v>55</v>
      </c>
      <c r="H5" s="5" t="s">
        <v>56</v>
      </c>
      <c r="I5" s="5" t="s">
        <v>57</v>
      </c>
    </row>
    <row r="6" customFormat="false" ht="15" hidden="false" customHeight="false" outlineLevel="0" collapsed="false">
      <c r="B6" s="11" t="s">
        <v>58</v>
      </c>
      <c r="C6" s="11" t="s">
        <v>59</v>
      </c>
      <c r="D6" s="11" t="s">
        <v>60</v>
      </c>
      <c r="E6" s="11" t="s">
        <v>53</v>
      </c>
      <c r="F6" s="11" t="s">
        <v>61</v>
      </c>
      <c r="G6" s="11" t="s">
        <v>62</v>
      </c>
      <c r="H6" s="11" t="s">
        <v>63</v>
      </c>
      <c r="I6" s="11" t="s">
        <v>64</v>
      </c>
    </row>
    <row r="7" customFormat="false" ht="15" hidden="false" customHeight="false" outlineLevel="0" collapsed="false">
      <c r="B7" s="2" t="s">
        <v>65</v>
      </c>
      <c r="C7" s="2" t="s">
        <v>66</v>
      </c>
      <c r="D7" s="2" t="s">
        <v>67</v>
      </c>
      <c r="E7" s="2" t="s">
        <v>68</v>
      </c>
      <c r="F7" s="2"/>
      <c r="G7" s="2" t="s">
        <v>69</v>
      </c>
      <c r="H7" s="2"/>
      <c r="I7" s="2"/>
    </row>
    <row r="8" customFormat="false" ht="15" hidden="false" customHeight="false" outlineLevel="0" collapsed="false">
      <c r="B8" s="2" t="s">
        <v>65</v>
      </c>
      <c r="C8" s="2" t="s">
        <v>70</v>
      </c>
      <c r="D8" s="2" t="s">
        <v>71</v>
      </c>
      <c r="E8" s="2" t="s">
        <v>68</v>
      </c>
      <c r="F8" s="2"/>
      <c r="G8" s="2"/>
      <c r="H8" s="2"/>
      <c r="I8" s="2"/>
    </row>
    <row r="9" customFormat="false" ht="15" hidden="false" customHeight="false" outlineLevel="0" collapsed="false">
      <c r="B9" s="2" t="s">
        <v>65</v>
      </c>
      <c r="C9" s="2" t="s">
        <v>72</v>
      </c>
      <c r="D9" s="2" t="s">
        <v>73</v>
      </c>
      <c r="E9" s="2" t="s">
        <v>68</v>
      </c>
      <c r="F9" s="2"/>
      <c r="G9" s="2" t="s">
        <v>69</v>
      </c>
      <c r="H9" s="2"/>
      <c r="I9" s="2"/>
    </row>
    <row r="10" customFormat="false" ht="15" hidden="false" customHeight="false" outlineLevel="0" collapsed="false">
      <c r="B10" s="2" t="s">
        <v>65</v>
      </c>
      <c r="C10" s="2" t="s">
        <v>74</v>
      </c>
      <c r="D10" s="2" t="s">
        <v>75</v>
      </c>
      <c r="E10" s="2" t="s">
        <v>68</v>
      </c>
      <c r="F10" s="2"/>
      <c r="G10" s="2"/>
      <c r="H10" s="2"/>
      <c r="I10" s="2"/>
    </row>
    <row r="11" customFormat="false" ht="15" hidden="false" customHeight="false" outlineLevel="0" collapsed="false">
      <c r="B11" s="2" t="s">
        <v>65</v>
      </c>
      <c r="C11" s="2" t="s">
        <v>76</v>
      </c>
      <c r="D11" s="2" t="s">
        <v>77</v>
      </c>
      <c r="E11" s="2" t="s">
        <v>68</v>
      </c>
      <c r="F11" s="2"/>
      <c r="G11" s="2" t="s">
        <v>69</v>
      </c>
      <c r="H11" s="2"/>
      <c r="I11" s="2"/>
    </row>
    <row r="12" customFormat="false" ht="15" hidden="false" customHeight="false" outlineLevel="0" collapsed="false">
      <c r="B12" s="2" t="s">
        <v>65</v>
      </c>
      <c r="C12" s="2" t="s">
        <v>78</v>
      </c>
      <c r="D12" s="2" t="s">
        <v>79</v>
      </c>
      <c r="E12" s="2" t="s">
        <v>68</v>
      </c>
      <c r="F12" s="2"/>
      <c r="G12" s="2"/>
      <c r="H12" s="2"/>
      <c r="I12" s="2"/>
    </row>
    <row r="13" customFormat="false" ht="15" hidden="false" customHeight="false" outlineLevel="0" collapsed="false">
      <c r="B13" s="2" t="s">
        <v>65</v>
      </c>
      <c r="C13" s="2" t="s">
        <v>80</v>
      </c>
      <c r="D13" s="2" t="s">
        <v>81</v>
      </c>
      <c r="E13" s="2" t="s">
        <v>68</v>
      </c>
      <c r="F13" s="2"/>
      <c r="G13" s="2" t="s">
        <v>69</v>
      </c>
      <c r="H13" s="2"/>
      <c r="I13" s="2"/>
    </row>
    <row r="14" customFormat="false" ht="15" hidden="false" customHeight="false" outlineLevel="0" collapsed="false">
      <c r="B14" s="2" t="s">
        <v>65</v>
      </c>
      <c r="C14" s="2" t="s">
        <v>82</v>
      </c>
      <c r="D14" s="2" t="s">
        <v>83</v>
      </c>
      <c r="E14" s="2" t="s">
        <v>68</v>
      </c>
      <c r="F14" s="2"/>
      <c r="G14" s="2"/>
      <c r="H14" s="2"/>
      <c r="I14" s="2"/>
    </row>
    <row r="15" customFormat="false" ht="15" hidden="false" customHeight="false" outlineLevel="0" collapsed="false">
      <c r="B15" s="2" t="s">
        <v>65</v>
      </c>
      <c r="C15" s="2" t="s">
        <v>84</v>
      </c>
      <c r="D15" s="2" t="s">
        <v>85</v>
      </c>
      <c r="E15" s="2" t="s">
        <v>68</v>
      </c>
      <c r="F15" s="2"/>
      <c r="G15" s="2" t="s">
        <v>69</v>
      </c>
      <c r="H15" s="2"/>
      <c r="I15" s="2"/>
    </row>
    <row r="16" customFormat="false" ht="15" hidden="false" customHeight="false" outlineLevel="0" collapsed="false">
      <c r="B16" s="2" t="s">
        <v>65</v>
      </c>
      <c r="C16" s="2" t="s">
        <v>86</v>
      </c>
      <c r="D16" s="2" t="s">
        <v>87</v>
      </c>
      <c r="E16" s="2" t="s">
        <v>68</v>
      </c>
      <c r="F16" s="2"/>
      <c r="G16" s="2"/>
      <c r="H16" s="2"/>
      <c r="I16" s="2"/>
    </row>
    <row r="17" customFormat="false" ht="15" hidden="false" customHeight="false" outlineLevel="0" collapsed="false">
      <c r="B17" s="2" t="s">
        <v>65</v>
      </c>
      <c r="C17" s="2" t="s">
        <v>88</v>
      </c>
      <c r="D17" s="2" t="s">
        <v>89</v>
      </c>
      <c r="E17" s="2" t="s">
        <v>68</v>
      </c>
      <c r="F17" s="2"/>
      <c r="G17" s="2" t="s">
        <v>69</v>
      </c>
      <c r="H17" s="2"/>
      <c r="I17" s="2"/>
    </row>
    <row r="18" customFormat="false" ht="15" hidden="false" customHeight="false" outlineLevel="0" collapsed="false">
      <c r="B18" s="2" t="s">
        <v>65</v>
      </c>
      <c r="C18" s="2" t="s">
        <v>90</v>
      </c>
      <c r="D18" s="2" t="s">
        <v>91</v>
      </c>
      <c r="E18" s="2" t="s">
        <v>68</v>
      </c>
      <c r="F18" s="2"/>
      <c r="G18" s="2" t="s">
        <v>69</v>
      </c>
      <c r="H18" s="2"/>
      <c r="I1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5" activeCellId="0" sqref="E25"/>
    </sheetView>
  </sheetViews>
  <sheetFormatPr defaultColWidth="8.71484375" defaultRowHeight="15" zeroHeight="false" outlineLevelRow="0" outlineLevelCol="0"/>
  <cols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7" min="6" style="0" width="7"/>
    <col collapsed="false" customWidth="true" hidden="false" outlineLevel="0" max="10" min="8" style="0" width="10"/>
  </cols>
  <sheetData>
    <row r="2" customFormat="false" ht="15.75" hidden="false" customHeight="true" outlineLevel="0" collapsed="false">
      <c r="B2" s="1" t="s">
        <v>92</v>
      </c>
    </row>
    <row r="4" customFormat="false" ht="15" hidden="false" customHeight="false" outlineLevel="0" collapsed="false">
      <c r="B4" s="10" t="s">
        <v>93</v>
      </c>
    </row>
    <row r="5" customFormat="false" ht="15" hidden="false" customHeight="false" outlineLevel="0" collapsed="false">
      <c r="B5" s="5" t="s">
        <v>94</v>
      </c>
      <c r="C5" s="5" t="s">
        <v>95</v>
      </c>
      <c r="D5" s="5" t="s">
        <v>96</v>
      </c>
      <c r="E5" s="5" t="s">
        <v>97</v>
      </c>
      <c r="F5" s="5" t="s">
        <v>98</v>
      </c>
      <c r="G5" s="5" t="s">
        <v>99</v>
      </c>
      <c r="H5" s="5" t="s">
        <v>100</v>
      </c>
      <c r="I5" s="5" t="s">
        <v>101</v>
      </c>
      <c r="J5" s="5" t="s">
        <v>102</v>
      </c>
    </row>
    <row r="6" customFormat="false" ht="15" hidden="false" customHeight="false" outlineLevel="0" collapsed="false">
      <c r="B6" s="11" t="s">
        <v>103</v>
      </c>
      <c r="C6" s="11" t="s">
        <v>104</v>
      </c>
      <c r="D6" s="11" t="s">
        <v>105</v>
      </c>
      <c r="E6" s="11" t="s">
        <v>106</v>
      </c>
      <c r="F6" s="11" t="s">
        <v>107</v>
      </c>
      <c r="G6" s="11" t="s">
        <v>108</v>
      </c>
      <c r="H6" s="11" t="s">
        <v>62</v>
      </c>
      <c r="I6" s="11" t="s">
        <v>109</v>
      </c>
      <c r="J6" s="11" t="s">
        <v>110</v>
      </c>
    </row>
    <row r="7" customFormat="false" ht="15" hidden="false" customHeight="false" outlineLevel="0" collapsed="false">
      <c r="B7" s="2" t="s">
        <v>111</v>
      </c>
      <c r="C7" s="2" t="s">
        <v>112</v>
      </c>
      <c r="D7" s="2" t="s">
        <v>113</v>
      </c>
      <c r="E7" s="2" t="s">
        <v>114</v>
      </c>
      <c r="F7" s="2" t="s">
        <v>68</v>
      </c>
      <c r="G7" s="2" t="s">
        <v>115</v>
      </c>
      <c r="H7" s="2" t="s">
        <v>69</v>
      </c>
      <c r="I7" s="2"/>
      <c r="J7" s="2"/>
    </row>
    <row r="8" customFormat="false" ht="15" hidden="false" customHeight="false" outlineLevel="0" collapsed="false">
      <c r="B8" s="2" t="s">
        <v>111</v>
      </c>
      <c r="C8" s="2" t="s">
        <v>112</v>
      </c>
      <c r="D8" s="2" t="s">
        <v>116</v>
      </c>
      <c r="E8" s="2" t="s">
        <v>117</v>
      </c>
      <c r="F8" s="2" t="s">
        <v>68</v>
      </c>
      <c r="G8" s="2" t="s">
        <v>115</v>
      </c>
      <c r="H8" s="2" t="s">
        <v>118</v>
      </c>
      <c r="I8" s="2"/>
      <c r="J8" s="2"/>
    </row>
    <row r="9" customFormat="false" ht="15" hidden="false" customHeight="false" outlineLevel="0" collapsed="false">
      <c r="B9" s="2" t="s">
        <v>111</v>
      </c>
      <c r="C9" s="2" t="s">
        <v>112</v>
      </c>
      <c r="D9" s="2" t="s">
        <v>119</v>
      </c>
      <c r="E9" s="2" t="s">
        <v>120</v>
      </c>
      <c r="F9" s="2" t="s">
        <v>68</v>
      </c>
      <c r="G9" s="2" t="s">
        <v>115</v>
      </c>
      <c r="H9" s="2" t="s">
        <v>69</v>
      </c>
      <c r="I9" s="2"/>
      <c r="J9" s="2"/>
    </row>
    <row r="10" customFormat="false" ht="15" hidden="false" customHeight="false" outlineLevel="0" collapsed="false">
      <c r="B10" s="2" t="s">
        <v>111</v>
      </c>
      <c r="C10" s="2" t="s">
        <v>112</v>
      </c>
      <c r="D10" s="2" t="s">
        <v>121</v>
      </c>
      <c r="E10" s="2" t="s">
        <v>122</v>
      </c>
      <c r="F10" s="2" t="s">
        <v>68</v>
      </c>
      <c r="G10" s="2" t="s">
        <v>115</v>
      </c>
      <c r="H10" s="2" t="s">
        <v>118</v>
      </c>
      <c r="I10" s="2"/>
      <c r="J10" s="2"/>
    </row>
    <row r="11" customFormat="false" ht="15" hidden="false" customHeight="false" outlineLevel="0" collapsed="false">
      <c r="B11" s="2" t="s">
        <v>111</v>
      </c>
      <c r="C11" s="2" t="s">
        <v>112</v>
      </c>
      <c r="D11" s="2" t="s">
        <v>123</v>
      </c>
      <c r="E11" s="2" t="s">
        <v>124</v>
      </c>
      <c r="F11" s="2" t="s">
        <v>68</v>
      </c>
      <c r="G11" s="2" t="s">
        <v>115</v>
      </c>
      <c r="H11" s="2" t="s">
        <v>69</v>
      </c>
      <c r="I11" s="2"/>
      <c r="J11" s="2"/>
    </row>
    <row r="12" customFormat="false" ht="15" hidden="false" customHeight="false" outlineLevel="0" collapsed="false">
      <c r="B12" s="2" t="s">
        <v>111</v>
      </c>
      <c r="C12" s="2" t="s">
        <v>112</v>
      </c>
      <c r="D12" s="2" t="s">
        <v>125</v>
      </c>
      <c r="E12" s="2" t="s">
        <v>126</v>
      </c>
      <c r="F12" s="2" t="s">
        <v>68</v>
      </c>
      <c r="G12" s="2" t="s">
        <v>115</v>
      </c>
      <c r="H12" s="2" t="s">
        <v>118</v>
      </c>
      <c r="I12" s="2"/>
      <c r="J12" s="2"/>
    </row>
    <row r="13" customFormat="false" ht="15" hidden="false" customHeight="false" outlineLevel="0" collapsed="false">
      <c r="B13" s="2" t="s">
        <v>111</v>
      </c>
      <c r="C13" s="2" t="s">
        <v>112</v>
      </c>
      <c r="D13" s="2" t="s">
        <v>127</v>
      </c>
      <c r="E13" s="2" t="s">
        <v>128</v>
      </c>
      <c r="F13" s="2" t="s">
        <v>68</v>
      </c>
      <c r="G13" s="2" t="s">
        <v>115</v>
      </c>
      <c r="H13" s="2" t="s">
        <v>69</v>
      </c>
      <c r="I13" s="2"/>
      <c r="J13" s="2"/>
    </row>
    <row r="14" customFormat="false" ht="15" hidden="false" customHeight="false" outlineLevel="0" collapsed="false">
      <c r="B14" s="2" t="s">
        <v>111</v>
      </c>
      <c r="C14" s="2" t="s">
        <v>112</v>
      </c>
      <c r="D14" s="2" t="s">
        <v>129</v>
      </c>
      <c r="E14" s="2" t="s">
        <v>130</v>
      </c>
      <c r="F14" s="2" t="s">
        <v>68</v>
      </c>
      <c r="G14" s="2" t="s">
        <v>115</v>
      </c>
      <c r="H14" s="2" t="s">
        <v>118</v>
      </c>
      <c r="I14" s="2"/>
      <c r="J14" s="2"/>
    </row>
    <row r="15" customFormat="false" ht="15" hidden="false" customHeight="false" outlineLevel="0" collapsed="false">
      <c r="B15" s="2" t="s">
        <v>111</v>
      </c>
      <c r="C15" s="2" t="s">
        <v>112</v>
      </c>
      <c r="D15" s="2" t="s">
        <v>131</v>
      </c>
      <c r="E15" s="2" t="s">
        <v>132</v>
      </c>
      <c r="F15" s="2" t="s">
        <v>68</v>
      </c>
      <c r="G15" s="2" t="s">
        <v>115</v>
      </c>
      <c r="H15" s="2" t="s">
        <v>69</v>
      </c>
      <c r="I15" s="2"/>
      <c r="J15" s="2"/>
    </row>
    <row r="16" customFormat="false" ht="15" hidden="false" customHeight="false" outlineLevel="0" collapsed="false">
      <c r="B16" s="2" t="s">
        <v>111</v>
      </c>
      <c r="C16" s="2" t="s">
        <v>112</v>
      </c>
      <c r="D16" s="2" t="s">
        <v>133</v>
      </c>
      <c r="E16" s="2" t="s">
        <v>134</v>
      </c>
      <c r="F16" s="2" t="s">
        <v>68</v>
      </c>
      <c r="G16" s="2" t="s">
        <v>115</v>
      </c>
      <c r="H16" s="2" t="s">
        <v>118</v>
      </c>
      <c r="I16" s="2"/>
      <c r="J16" s="2"/>
    </row>
    <row r="17" customFormat="false" ht="15" hidden="false" customHeight="false" outlineLevel="0" collapsed="false">
      <c r="B17" s="2" t="s">
        <v>111</v>
      </c>
      <c r="C17" s="2" t="s">
        <v>112</v>
      </c>
      <c r="D17" s="2" t="s">
        <v>135</v>
      </c>
      <c r="E17" s="2" t="s">
        <v>136</v>
      </c>
      <c r="F17" s="2" t="s">
        <v>68</v>
      </c>
      <c r="G17" s="2" t="s">
        <v>115</v>
      </c>
      <c r="H17" s="2" t="s">
        <v>69</v>
      </c>
      <c r="I17" s="2"/>
      <c r="J17" s="2"/>
    </row>
    <row r="18" customFormat="false" ht="15" hidden="false" customHeight="false" outlineLevel="0" collapsed="false">
      <c r="B18" s="2" t="s">
        <v>111</v>
      </c>
      <c r="C18" s="2" t="s">
        <v>112</v>
      </c>
      <c r="D18" s="2" t="s">
        <v>137</v>
      </c>
      <c r="E18" s="2" t="s">
        <v>138</v>
      </c>
      <c r="F18" s="2" t="s">
        <v>68</v>
      </c>
      <c r="G18" s="2" t="s">
        <v>115</v>
      </c>
      <c r="H18" s="2" t="s">
        <v>69</v>
      </c>
      <c r="I18" s="2"/>
      <c r="J1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714843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12" min="6" style="0" width="12"/>
    <col collapsed="false" customWidth="true" hidden="false" outlineLevel="0" max="13" min="13" style="0" width="6"/>
    <col collapsed="false" customWidth="true" hidden="false" outlineLevel="0" max="14" min="14" style="0" width="9"/>
  </cols>
  <sheetData>
    <row r="2" customFormat="false" ht="15.75" hidden="false" customHeight="true" outlineLevel="0" collapsed="false">
      <c r="B2" s="1" t="s">
        <v>139</v>
      </c>
    </row>
    <row r="3" customFormat="false" ht="15" hidden="false" customHeight="false" outlineLevel="0" collapsed="false">
      <c r="B3" s="3" t="s">
        <v>140</v>
      </c>
    </row>
    <row r="4" customFormat="false" ht="15" hidden="false" customHeight="false" outlineLevel="0" collapsed="false">
      <c r="B4" s="10" t="s">
        <v>141</v>
      </c>
    </row>
    <row r="5" customFormat="false" ht="15" hidden="false" customHeight="false" outlineLevel="0" collapsed="false">
      <c r="B5" s="5" t="s">
        <v>96</v>
      </c>
      <c r="C5" s="5" t="s">
        <v>142</v>
      </c>
      <c r="D5" s="5" t="s">
        <v>143</v>
      </c>
      <c r="E5" s="5" t="s">
        <v>144</v>
      </c>
      <c r="F5" s="5" t="s">
        <v>145</v>
      </c>
      <c r="G5" s="5" t="s">
        <v>146</v>
      </c>
      <c r="H5" s="5" t="s">
        <v>147</v>
      </c>
      <c r="I5" s="5" t="s">
        <v>148</v>
      </c>
      <c r="J5" s="5" t="s">
        <v>149</v>
      </c>
      <c r="K5" s="5" t="s">
        <v>150</v>
      </c>
      <c r="L5" s="5" t="s">
        <v>151</v>
      </c>
      <c r="M5" s="5" t="s">
        <v>152</v>
      </c>
      <c r="N5" s="5" t="s">
        <v>153</v>
      </c>
    </row>
    <row r="6" customFormat="false" ht="15" hidden="false" customHeight="false" outlineLevel="0" collapsed="false">
      <c r="B6" s="11" t="s">
        <v>154</v>
      </c>
      <c r="C6" s="11" t="s">
        <v>106</v>
      </c>
      <c r="D6" s="11" t="s">
        <v>155</v>
      </c>
      <c r="E6" s="11" t="s">
        <v>156</v>
      </c>
      <c r="F6" s="11" t="s">
        <v>157</v>
      </c>
      <c r="G6" s="11" t="s">
        <v>157</v>
      </c>
      <c r="H6" s="11" t="s">
        <v>157</v>
      </c>
      <c r="I6" s="11" t="s">
        <v>157</v>
      </c>
      <c r="J6" s="11" t="s">
        <v>157</v>
      </c>
      <c r="K6" s="11" t="s">
        <v>157</v>
      </c>
      <c r="L6" s="11" t="s">
        <v>157</v>
      </c>
      <c r="M6" s="11" t="s">
        <v>158</v>
      </c>
      <c r="N6" s="11" t="s">
        <v>159</v>
      </c>
    </row>
    <row r="7" customFormat="false" ht="15" hidden="false" customHeight="false" outlineLevel="0" collapsed="false">
      <c r="B7" s="2" t="s">
        <v>113</v>
      </c>
      <c r="C7" s="2" t="s">
        <v>114</v>
      </c>
      <c r="D7" s="2" t="s">
        <v>36</v>
      </c>
      <c r="E7" s="2" t="s">
        <v>66</v>
      </c>
      <c r="F7" s="2"/>
      <c r="G7" s="2"/>
      <c r="H7" s="2"/>
      <c r="I7" s="2"/>
      <c r="J7" s="2"/>
      <c r="K7" s="2"/>
      <c r="L7" s="2"/>
      <c r="M7" s="2" t="n">
        <v>1</v>
      </c>
      <c r="N7" s="2" t="n">
        <v>1</v>
      </c>
    </row>
    <row r="8" customFormat="false" ht="15" hidden="false" customHeight="false" outlineLevel="0" collapsed="false">
      <c r="B8" s="2" t="s">
        <v>116</v>
      </c>
      <c r="C8" s="2" t="s">
        <v>117</v>
      </c>
      <c r="D8" s="2" t="s">
        <v>38</v>
      </c>
      <c r="E8" s="2" t="s">
        <v>70</v>
      </c>
      <c r="F8" s="12" t="n">
        <f aca="false">IFERROR(INPUT!D16/(INPUT!D16+INPUT!D17+INPUT!D18),0)</f>
        <v>0.191419141914191</v>
      </c>
      <c r="G8" s="12" t="n">
        <f aca="false">IFERROR(INPUT!E16/(INPUT!E16+INPUT!E17+INPUT!E18),0)</f>
        <v>0.0476190476190476</v>
      </c>
      <c r="H8" s="12" t="n">
        <f aca="false">IFERROR(INPUT!F16/(INPUT!F16+INPUT!F17+INPUT!F18),0)</f>
        <v>0</v>
      </c>
      <c r="I8" s="12" t="n">
        <f aca="false">IFERROR(INPUT!G16/(INPUT!G16+INPUT!G17+INPUT!G18),0)</f>
        <v>0</v>
      </c>
      <c r="J8" s="12" t="n">
        <f aca="false">IFERROR(INPUT!H16/(INPUT!H16+INPUT!H17+INPUT!H18),0)</f>
        <v>0</v>
      </c>
      <c r="K8" s="12" t="n">
        <f aca="false">IFERROR(INPUT!I16/(INPUT!I16+INPUT!I17+INPUT!I18),0)</f>
        <v>0</v>
      </c>
      <c r="L8" s="12" t="n">
        <f aca="false">IFERROR(INPUT!J16/(INPUT!J16+INPUT!J17+INPUT!J18),0)</f>
        <v>0</v>
      </c>
      <c r="M8" s="2" t="n">
        <v>1</v>
      </c>
      <c r="N8" s="2" t="n">
        <v>1</v>
      </c>
    </row>
    <row r="9" customFormat="false" ht="15" hidden="false" customHeight="false" outlineLevel="0" collapsed="false">
      <c r="B9" s="2"/>
      <c r="C9" s="2"/>
      <c r="D9" s="2" t="s">
        <v>40</v>
      </c>
      <c r="E9" s="2" t="s">
        <v>70</v>
      </c>
      <c r="F9" s="12" t="n">
        <f aca="false">IFERROR(INPUT!D17/(INPUT!D16+INPUT!D17+INPUT!D18),0)</f>
        <v>0.592739273927393</v>
      </c>
      <c r="G9" s="12" t="n">
        <f aca="false">IFERROR(INPUT!E17/(INPUT!E16+INPUT!E17+INPUT!E18),0)</f>
        <v>0.547619047619048</v>
      </c>
      <c r="H9" s="12" t="n">
        <f aca="false">IFERROR(INPUT!F17/(INPUT!F16+INPUT!F17+INPUT!F18),0)</f>
        <v>0.526315789473684</v>
      </c>
      <c r="I9" s="12" t="n">
        <f aca="false">IFERROR(INPUT!G17/(INPUT!G16+INPUT!G17+INPUT!G18),0)</f>
        <v>0.470588235294118</v>
      </c>
      <c r="J9" s="12" t="n">
        <f aca="false">IFERROR(INPUT!H17/(INPUT!H16+INPUT!H17+INPUT!H18),0)</f>
        <v>0.4</v>
      </c>
      <c r="K9" s="12" t="n">
        <f aca="false">IFERROR(INPUT!I17/(INPUT!I16+INPUT!I17+INPUT!I18),0)</f>
        <v>0.192307692307692</v>
      </c>
      <c r="L9" s="12" t="n">
        <f aca="false">IFERROR(INPUT!J17/(INPUT!J16+INPUT!J17+INPUT!J18),0)</f>
        <v>0</v>
      </c>
      <c r="M9" s="2" t="n">
        <v>1</v>
      </c>
      <c r="N9" s="2" t="n">
        <v>1</v>
      </c>
    </row>
    <row r="10" customFormat="false" ht="15" hidden="false" customHeight="false" outlineLevel="0" collapsed="false">
      <c r="B10" s="2"/>
      <c r="C10" s="2"/>
      <c r="D10" s="2" t="s">
        <v>41</v>
      </c>
      <c r="E10" s="2" t="s">
        <v>70</v>
      </c>
      <c r="F10" s="12" t="n">
        <f aca="false">IFERROR(INPUT!D18/(INPUT!D16+INPUT!D17+INPUT!D18),0)</f>
        <v>0.215841584158416</v>
      </c>
      <c r="G10" s="12" t="n">
        <f aca="false">IFERROR(INPUT!E18/(INPUT!E16+INPUT!E17+INPUT!E18),0)</f>
        <v>0.404761904761905</v>
      </c>
      <c r="H10" s="12" t="n">
        <f aca="false">IFERROR(INPUT!F18/(INPUT!F16+INPUT!F17+INPUT!F18),0)</f>
        <v>0.473684210526316</v>
      </c>
      <c r="I10" s="12" t="n">
        <f aca="false">IFERROR(INPUT!G18/(INPUT!G16+INPUT!G17+INPUT!G18),0)</f>
        <v>0.529411764705882</v>
      </c>
      <c r="J10" s="12" t="n">
        <f aca="false">IFERROR(INPUT!H18/(INPUT!H16+INPUT!H17+INPUT!H18),0)</f>
        <v>0.6</v>
      </c>
      <c r="K10" s="12" t="n">
        <f aca="false">IFERROR(INPUT!I18/(INPUT!I16+INPUT!I17+INPUT!I18),0)</f>
        <v>0.807692307692308</v>
      </c>
      <c r="L10" s="12" t="n">
        <f aca="false">IFERROR(INPUT!J18/(INPUT!J16+INPUT!J17+INPUT!J18),0)</f>
        <v>1</v>
      </c>
      <c r="M10" s="2" t="n">
        <v>1</v>
      </c>
      <c r="N10" s="2" t="n">
        <v>1</v>
      </c>
    </row>
    <row r="11" customFormat="false" ht="15" hidden="false" customHeight="false" outlineLevel="0" collapsed="false">
      <c r="B11" s="2" t="s">
        <v>119</v>
      </c>
      <c r="C11" s="2" t="s">
        <v>120</v>
      </c>
      <c r="D11" s="2" t="s">
        <v>36</v>
      </c>
      <c r="E11" s="2" t="s">
        <v>72</v>
      </c>
      <c r="F11" s="2"/>
      <c r="G11" s="2"/>
      <c r="H11" s="2"/>
      <c r="I11" s="2"/>
      <c r="J11" s="2"/>
      <c r="K11" s="2"/>
      <c r="L11" s="2"/>
      <c r="M11" s="2" t="n">
        <v>1</v>
      </c>
      <c r="N11" s="2" t="n">
        <v>1</v>
      </c>
    </row>
    <row r="12" customFormat="false" ht="15" hidden="false" customHeight="false" outlineLevel="0" collapsed="false">
      <c r="B12" s="2" t="s">
        <v>121</v>
      </c>
      <c r="C12" s="2" t="s">
        <v>122</v>
      </c>
      <c r="D12" s="2" t="s">
        <v>38</v>
      </c>
      <c r="E12" s="2" t="s">
        <v>74</v>
      </c>
      <c r="F12" s="12" t="n">
        <f aca="false">IFERROR(INPUT!D22/(INPUT!D22+INPUT!D23+INPUT!D24+INPUT!D25+INPUT!D26+INPUT!D27),0)</f>
        <v>0.0478960464208481</v>
      </c>
      <c r="G12" s="12" t="n">
        <f aca="false">IFERROR(INPUT!E22/(INPUT!E22+INPUT!E23+INPUT!E24+INPUT!E25+INPUT!E26+INPUT!E27),0)</f>
        <v>0.0338983050847458</v>
      </c>
      <c r="H12" s="12" t="n">
        <f aca="false">IFERROR(INPUT!F22/(INPUT!F22+INPUT!F23+INPUT!F24+INPUT!F25+INPUT!F26+INPUT!F27),0)</f>
        <v>0</v>
      </c>
      <c r="I12" s="12" t="n">
        <f aca="false">IFERROR(INPUT!G22/(INPUT!G22+INPUT!G23+INPUT!G24+INPUT!G25+INPUT!G26+INPUT!G27),0)</f>
        <v>0</v>
      </c>
      <c r="J12" s="12" t="n">
        <f aca="false">IFERROR(INPUT!H22/(INPUT!H22+INPUT!H23+INPUT!H24+INPUT!H25+INPUT!H26+INPUT!H27),0)</f>
        <v>0</v>
      </c>
      <c r="K12" s="12" t="n">
        <f aca="false">IFERROR(INPUT!I22/(INPUT!I22+INPUT!I23+INPUT!I24+INPUT!I25+INPUT!I26+INPUT!I27),0)</f>
        <v>0</v>
      </c>
      <c r="L12" s="12" t="n">
        <f aca="false">IFERROR(INPUT!J22/(INPUT!J22+INPUT!J23+INPUT!J24+INPUT!J25+INPUT!J26+INPUT!J27),0)</f>
        <v>0</v>
      </c>
      <c r="M12" s="2" t="n">
        <v>1</v>
      </c>
      <c r="N12" s="2" t="n">
        <v>1</v>
      </c>
    </row>
    <row r="13" customFormat="false" ht="15" hidden="false" customHeight="false" outlineLevel="0" collapsed="false">
      <c r="B13" s="2"/>
      <c r="C13" s="2"/>
      <c r="D13" s="2" t="s">
        <v>43</v>
      </c>
      <c r="E13" s="2" t="s">
        <v>74</v>
      </c>
      <c r="F13" s="12" t="n">
        <f aca="false">IFERROR(INPUT!D23/(INPUT!D22+INPUT!D23+INPUT!D24+INPUT!D25+INPUT!D26+INPUT!D27),0)</f>
        <v>0.154756009448984</v>
      </c>
      <c r="G13" s="12" t="n">
        <f aca="false">IFERROR(INPUT!E23/(INPUT!E22+INPUT!E23+INPUT!E24+INPUT!E25+INPUT!E26+INPUT!E27),0)</f>
        <v>0.152542372881356</v>
      </c>
      <c r="H13" s="12" t="n">
        <f aca="false">IFERROR(INPUT!F23/(INPUT!F22+INPUT!F23+INPUT!F24+INPUT!F25+INPUT!F26+INPUT!F27),0)</f>
        <v>0.1875</v>
      </c>
      <c r="I13" s="12" t="n">
        <f aca="false">IFERROR(INPUT!G23/(INPUT!G22+INPUT!G23+INPUT!G24+INPUT!G25+INPUT!G26+INPUT!G27),0)</f>
        <v>0</v>
      </c>
      <c r="J13" s="12" t="n">
        <f aca="false">IFERROR(INPUT!H23/(INPUT!H22+INPUT!H23+INPUT!H24+INPUT!H25+INPUT!H26+INPUT!H27),0)</f>
        <v>0</v>
      </c>
      <c r="K13" s="12" t="n">
        <f aca="false">IFERROR(INPUT!I23/(INPUT!I22+INPUT!I23+INPUT!I24+INPUT!I25+INPUT!I26+INPUT!I27),0)</f>
        <v>0</v>
      </c>
      <c r="L13" s="12" t="n">
        <f aca="false">IFERROR(INPUT!J23/(INPUT!J22+INPUT!J23+INPUT!J24+INPUT!J25+INPUT!J26+INPUT!J27),0)</f>
        <v>0</v>
      </c>
      <c r="M13" s="2" t="n">
        <v>1</v>
      </c>
      <c r="N13" s="2" t="n">
        <v>1</v>
      </c>
    </row>
    <row r="14" customFormat="false" ht="15" hidden="false" customHeight="false" outlineLevel="0" collapsed="false">
      <c r="B14" s="2"/>
      <c r="C14" s="2"/>
      <c r="D14" s="2" t="s">
        <v>40</v>
      </c>
      <c r="E14" s="2" t="s">
        <v>74</v>
      </c>
      <c r="F14" s="12" t="n">
        <f aca="false">IFERROR(INPUT!D24/(INPUT!D22+INPUT!D23+INPUT!D24+INPUT!D25+INPUT!D26+INPUT!D27),0)</f>
        <v>0.155238465030093</v>
      </c>
      <c r="G14" s="12" t="n">
        <f aca="false">IFERROR(INPUT!E24/(INPUT!E22+INPUT!E23+INPUT!E24+INPUT!E25+INPUT!E26+INPUT!E27),0)</f>
        <v>0.203389830508475</v>
      </c>
      <c r="H14" s="12" t="n">
        <f aca="false">IFERROR(INPUT!F24/(INPUT!F22+INPUT!F23+INPUT!F24+INPUT!F25+INPUT!F26+INPUT!F27),0)</f>
        <v>0.208333333333333</v>
      </c>
      <c r="I14" s="12" t="n">
        <f aca="false">IFERROR(INPUT!G24/(INPUT!G22+INPUT!G23+INPUT!G24+INPUT!G25+INPUT!G26+INPUT!G27),0)</f>
        <v>0.210526315789474</v>
      </c>
      <c r="J14" s="12" t="n">
        <f aca="false">IFERROR(INPUT!H24/(INPUT!H22+INPUT!H23+INPUT!H24+INPUT!H25+INPUT!H26+INPUT!H27),0)</f>
        <v>0</v>
      </c>
      <c r="K14" s="12" t="n">
        <f aca="false">IFERROR(INPUT!I24/(INPUT!I22+INPUT!I23+INPUT!I24+INPUT!I25+INPUT!I26+INPUT!I27),0)</f>
        <v>0</v>
      </c>
      <c r="L14" s="12" t="n">
        <f aca="false">IFERROR(INPUT!J24/(INPUT!J22+INPUT!J23+INPUT!J24+INPUT!J25+INPUT!J26+INPUT!J27),0)</f>
        <v>0</v>
      </c>
      <c r="M14" s="2" t="n">
        <v>1</v>
      </c>
      <c r="N14" s="2" t="n">
        <v>1</v>
      </c>
    </row>
    <row r="15" customFormat="false" ht="15" hidden="false" customHeight="false" outlineLevel="0" collapsed="false">
      <c r="B15" s="2"/>
      <c r="C15" s="2"/>
      <c r="D15" s="2" t="s">
        <v>44</v>
      </c>
      <c r="E15" s="2" t="s">
        <v>74</v>
      </c>
      <c r="F15" s="12" t="n">
        <f aca="false">IFERROR(INPUT!D25/(INPUT!D22+INPUT!D23+INPUT!D24+INPUT!D25+INPUT!D26+INPUT!D27),0)</f>
        <v>0.18489640894214</v>
      </c>
      <c r="G15" s="12" t="n">
        <f aca="false">IFERROR(INPUT!E25/(INPUT!E22+INPUT!E23+INPUT!E24+INPUT!E25+INPUT!E26+INPUT!E27),0)</f>
        <v>0.0847457627118644</v>
      </c>
      <c r="H15" s="12" t="n">
        <f aca="false">IFERROR(INPUT!F25/(INPUT!F22+INPUT!F23+INPUT!F24+INPUT!F25+INPUT!F26+INPUT!F27),0)</f>
        <v>0</v>
      </c>
      <c r="I15" s="12" t="n">
        <f aca="false">IFERROR(INPUT!G25/(INPUT!G22+INPUT!G23+INPUT!G24+INPUT!G25+INPUT!G26+INPUT!G27),0)</f>
        <v>0</v>
      </c>
      <c r="J15" s="12" t="n">
        <f aca="false">IFERROR(INPUT!H25/(INPUT!H22+INPUT!H23+INPUT!H24+INPUT!H25+INPUT!H26+INPUT!H27),0)</f>
        <v>0</v>
      </c>
      <c r="K15" s="12" t="n">
        <f aca="false">IFERROR(INPUT!I25/(INPUT!I22+INPUT!I23+INPUT!I24+INPUT!I25+INPUT!I26+INPUT!I27),0)</f>
        <v>0</v>
      </c>
      <c r="L15" s="12" t="n">
        <f aca="false">IFERROR(INPUT!J25/(INPUT!J22+INPUT!J23+INPUT!J24+INPUT!J25+INPUT!J26+INPUT!J27),0)</f>
        <v>0</v>
      </c>
      <c r="M15" s="2" t="n">
        <v>1</v>
      </c>
      <c r="N15" s="2" t="n">
        <v>1</v>
      </c>
    </row>
    <row r="16" customFormat="false" ht="15" hidden="false" customHeight="false" outlineLevel="0" collapsed="false">
      <c r="B16" s="2"/>
      <c r="C16" s="2"/>
      <c r="D16" s="2" t="s">
        <v>41</v>
      </c>
      <c r="E16" s="2" t="s">
        <v>74</v>
      </c>
      <c r="F16" s="12" t="n">
        <f aca="false">IFERROR(INPUT!D26/(INPUT!D22+INPUT!D23+INPUT!D24+INPUT!D25+INPUT!D26+INPUT!D27),0)</f>
        <v>0</v>
      </c>
      <c r="G16" s="12" t="n">
        <f aca="false">IFERROR(INPUT!E26/(INPUT!E22+INPUT!E23+INPUT!E24+INPUT!E25+INPUT!E26+INPUT!E27),0)</f>
        <v>0.0508474576271187</v>
      </c>
      <c r="H16" s="12" t="n">
        <f aca="false">IFERROR(INPUT!F26/(INPUT!F22+INPUT!F23+INPUT!F24+INPUT!F25+INPUT!F26+INPUT!F27),0)</f>
        <v>0.104166666666667</v>
      </c>
      <c r="I16" s="12" t="n">
        <f aca="false">IFERROR(INPUT!G26/(INPUT!G22+INPUT!G23+INPUT!G24+INPUT!G25+INPUT!G26+INPUT!G27),0)</f>
        <v>0.263157894736842</v>
      </c>
      <c r="J16" s="12" t="n">
        <f aca="false">IFERROR(INPUT!H26/(INPUT!H22+INPUT!H23+INPUT!H24+INPUT!H25+INPUT!H26+INPUT!H27),0)</f>
        <v>0.625</v>
      </c>
      <c r="K16" s="12" t="n">
        <f aca="false">IFERROR(INPUT!I26/(INPUT!I22+INPUT!I23+INPUT!I24+INPUT!I25+INPUT!I26+INPUT!I27),0)</f>
        <v>0.84</v>
      </c>
      <c r="L16" s="12" t="n">
        <f aca="false">IFERROR(INPUT!J26/(INPUT!J22+INPUT!J23+INPUT!J24+INPUT!J25+INPUT!J26+INPUT!J27),0)</f>
        <v>1</v>
      </c>
      <c r="M16" s="2" t="n">
        <v>1</v>
      </c>
      <c r="N16" s="2" t="n">
        <v>1</v>
      </c>
    </row>
    <row r="17" customFormat="false" ht="15" hidden="false" customHeight="false" outlineLevel="0" collapsed="false">
      <c r="B17" s="2"/>
      <c r="C17" s="2"/>
      <c r="D17" s="2" t="s">
        <v>45</v>
      </c>
      <c r="E17" s="2" t="s">
        <v>74</v>
      </c>
      <c r="F17" s="12" t="n">
        <f aca="false">IFERROR(INPUT!D27/(INPUT!D22+INPUT!D23+INPUT!D24+INPUT!D25+INPUT!D26+INPUT!D27),0)</f>
        <v>0.457213070157934</v>
      </c>
      <c r="G17" s="12" t="n">
        <f aca="false">IFERROR(INPUT!E27/(INPUT!E22+INPUT!E23+INPUT!E24+INPUT!E25+INPUT!E26+INPUT!E27),0)</f>
        <v>0.474576271186441</v>
      </c>
      <c r="H17" s="12" t="n">
        <f aca="false">IFERROR(INPUT!F27/(INPUT!F22+INPUT!F23+INPUT!F24+INPUT!F25+INPUT!F26+INPUT!F27),0)</f>
        <v>0.5</v>
      </c>
      <c r="I17" s="12" t="n">
        <f aca="false">IFERROR(INPUT!G27/(INPUT!G22+INPUT!G23+INPUT!G24+INPUT!G25+INPUT!G26+INPUT!G27),0)</f>
        <v>0.526315789473684</v>
      </c>
      <c r="J17" s="12" t="n">
        <f aca="false">IFERROR(INPUT!H27/(INPUT!H22+INPUT!H23+INPUT!H24+INPUT!H25+INPUT!H26+INPUT!H27),0)</f>
        <v>0.375</v>
      </c>
      <c r="K17" s="12" t="n">
        <f aca="false">IFERROR(INPUT!I27/(INPUT!I22+INPUT!I23+INPUT!I24+INPUT!I25+INPUT!I26+INPUT!I27),0)</f>
        <v>0.16</v>
      </c>
      <c r="L17" s="12" t="n">
        <f aca="false">IFERROR(INPUT!J27/(INPUT!J22+INPUT!J23+INPUT!J24+INPUT!J25+INPUT!J26+INPUT!J27),0)</f>
        <v>0</v>
      </c>
      <c r="M17" s="2" t="n">
        <v>1</v>
      </c>
      <c r="N17" s="2" t="n">
        <v>1</v>
      </c>
    </row>
    <row r="18" customFormat="false" ht="15" hidden="false" customHeight="false" outlineLevel="0" collapsed="false">
      <c r="B18" s="2" t="s">
        <v>123</v>
      </c>
      <c r="C18" s="2" t="s">
        <v>124</v>
      </c>
      <c r="D18" s="2" t="s">
        <v>36</v>
      </c>
      <c r="E18" s="2" t="s">
        <v>76</v>
      </c>
      <c r="F18" s="2"/>
      <c r="G18" s="2"/>
      <c r="H18" s="2"/>
      <c r="I18" s="2"/>
      <c r="J18" s="2"/>
      <c r="K18" s="2"/>
      <c r="L18" s="2"/>
      <c r="M18" s="2" t="n">
        <v>1</v>
      </c>
      <c r="N18" s="2" t="n">
        <v>1</v>
      </c>
    </row>
    <row r="19" customFormat="false" ht="15" hidden="false" customHeight="false" outlineLevel="0" collapsed="false">
      <c r="B19" s="2" t="s">
        <v>125</v>
      </c>
      <c r="C19" s="2" t="s">
        <v>126</v>
      </c>
      <c r="D19" s="2" t="s">
        <v>38</v>
      </c>
      <c r="E19" s="2" t="s">
        <v>78</v>
      </c>
      <c r="F19" s="12" t="n">
        <f aca="false">IFERROR(INPUT!D31/(INPUT!D31+INPUT!D32+INPUT!D33),0)</f>
        <v>0.392857142857142</v>
      </c>
      <c r="G19" s="12" t="n">
        <f aca="false">IFERROR(INPUT!E31/(INPUT!E31+INPUT!E32+INPUT!E33),0)</f>
        <v>0.333333333333333</v>
      </c>
      <c r="H19" s="12" t="n">
        <f aca="false">IFERROR(INPUT!F31/(INPUT!F31+INPUT!F32+INPUT!F33),0)</f>
        <v>0.181818181818182</v>
      </c>
      <c r="I19" s="12" t="n">
        <f aca="false">IFERROR(INPUT!G31/(INPUT!G31+INPUT!G32+INPUT!G33),0)</f>
        <v>0</v>
      </c>
      <c r="J19" s="12" t="n">
        <f aca="false">IFERROR(INPUT!H31/(INPUT!H31+INPUT!H32+INPUT!H33),0)</f>
        <v>0</v>
      </c>
      <c r="K19" s="12" t="n">
        <f aca="false">IFERROR(INPUT!I31/(INPUT!I31+INPUT!I32+INPUT!I33),0)</f>
        <v>0</v>
      </c>
      <c r="L19" s="12" t="n">
        <f aca="false">IFERROR(INPUT!J31/(INPUT!J31+INPUT!J32+INPUT!J33),0)</f>
        <v>0</v>
      </c>
      <c r="M19" s="2" t="n">
        <v>1</v>
      </c>
      <c r="N19" s="2" t="n">
        <v>1</v>
      </c>
    </row>
    <row r="20" customFormat="false" ht="15" hidden="false" customHeight="false" outlineLevel="0" collapsed="false">
      <c r="B20" s="2"/>
      <c r="C20" s="2"/>
      <c r="D20" s="2" t="s">
        <v>40</v>
      </c>
      <c r="E20" s="2" t="s">
        <v>78</v>
      </c>
      <c r="F20" s="12" t="n">
        <f aca="false">IFERROR(INPUT!D32/(INPUT!D31+INPUT!D32+INPUT!D33),0)</f>
        <v>0.607142857142858</v>
      </c>
      <c r="G20" s="12" t="n">
        <f aca="false">IFERROR(INPUT!E32/(INPUT!E31+INPUT!E32+INPUT!E33),0)</f>
        <v>0.592592592592593</v>
      </c>
      <c r="H20" s="12" t="n">
        <f aca="false">IFERROR(INPUT!F32/(INPUT!F31+INPUT!F32+INPUT!F33),0)</f>
        <v>0.545454545454545</v>
      </c>
      <c r="I20" s="12" t="n">
        <f aca="false">IFERROR(INPUT!G32/(INPUT!G31+INPUT!G32+INPUT!G33),0)</f>
        <v>0.25</v>
      </c>
      <c r="J20" s="12" t="n">
        <f aca="false">IFERROR(INPUT!H32/(INPUT!H31+INPUT!H32+INPUT!H33),0)</f>
        <v>0</v>
      </c>
      <c r="K20" s="12" t="n">
        <f aca="false">IFERROR(INPUT!I32/(INPUT!I31+INPUT!I32+INPUT!I33),0)</f>
        <v>0</v>
      </c>
      <c r="L20" s="12" t="n">
        <f aca="false">IFERROR(INPUT!J32/(INPUT!J31+INPUT!J32+INPUT!J33),0)</f>
        <v>0</v>
      </c>
      <c r="M20" s="2" t="n">
        <v>1</v>
      </c>
      <c r="N20" s="2" t="n">
        <v>1</v>
      </c>
    </row>
    <row r="21" customFormat="false" ht="15" hidden="false" customHeight="false" outlineLevel="0" collapsed="false">
      <c r="B21" s="2"/>
      <c r="C21" s="2"/>
      <c r="D21" s="2" t="s">
        <v>41</v>
      </c>
      <c r="E21" s="2" t="s">
        <v>78</v>
      </c>
      <c r="F21" s="12" t="n">
        <f aca="false">IFERROR(INPUT!D33/(INPUT!D31+INPUT!D32+INPUT!D33),0)</f>
        <v>0</v>
      </c>
      <c r="G21" s="12" t="n">
        <f aca="false">IFERROR(INPUT!E33/(INPUT!E31+INPUT!E32+INPUT!E33),0)</f>
        <v>0.0740740740740741</v>
      </c>
      <c r="H21" s="12" t="n">
        <f aca="false">IFERROR(INPUT!F33/(INPUT!F31+INPUT!F32+INPUT!F33),0)</f>
        <v>0.272727272727273</v>
      </c>
      <c r="I21" s="12" t="n">
        <f aca="false">IFERROR(INPUT!G33/(INPUT!G31+INPUT!G32+INPUT!G33),0)</f>
        <v>0.75</v>
      </c>
      <c r="J21" s="12" t="n">
        <f aca="false">IFERROR(INPUT!H33/(INPUT!H31+INPUT!H32+INPUT!H33),0)</f>
        <v>1</v>
      </c>
      <c r="K21" s="12" t="n">
        <f aca="false">IFERROR(INPUT!I33/(INPUT!I31+INPUT!I32+INPUT!I33),0)</f>
        <v>1</v>
      </c>
      <c r="L21" s="12" t="n">
        <f aca="false">IFERROR(INPUT!J33/(INPUT!J31+INPUT!J32+INPUT!J33),0)</f>
        <v>1</v>
      </c>
      <c r="M21" s="2" t="n">
        <v>1</v>
      </c>
      <c r="N21" s="2" t="n">
        <v>1</v>
      </c>
    </row>
    <row r="22" customFormat="false" ht="15" hidden="false" customHeight="false" outlineLevel="0" collapsed="false">
      <c r="B22" s="2" t="s">
        <v>127</v>
      </c>
      <c r="C22" s="2" t="s">
        <v>128</v>
      </c>
      <c r="D22" s="2" t="s">
        <v>36</v>
      </c>
      <c r="E22" s="2" t="s">
        <v>80</v>
      </c>
      <c r="F22" s="2"/>
      <c r="G22" s="2"/>
      <c r="H22" s="2"/>
      <c r="I22" s="2"/>
      <c r="J22" s="2"/>
      <c r="K22" s="2"/>
      <c r="L22" s="2"/>
      <c r="M22" s="2" t="n">
        <v>1</v>
      </c>
      <c r="N22" s="2" t="n">
        <v>1</v>
      </c>
    </row>
    <row r="23" customFormat="false" ht="15" hidden="false" customHeight="false" outlineLevel="0" collapsed="false">
      <c r="B23" s="2" t="s">
        <v>129</v>
      </c>
      <c r="C23" s="2" t="s">
        <v>130</v>
      </c>
      <c r="D23" s="2" t="s">
        <v>38</v>
      </c>
      <c r="E23" s="2" t="s">
        <v>82</v>
      </c>
      <c r="F23" s="12" t="n">
        <f aca="false">IFERROR(INPUT!D36/(INPUT!D36+INPUT!D38),0)</f>
        <v>1</v>
      </c>
      <c r="G23" s="12" t="n">
        <f aca="false">IFERROR(INPUT!E36/(INPUT!E36+INPUT!E38),0)</f>
        <v>1</v>
      </c>
      <c r="H23" s="12" t="n">
        <f aca="false">IFERROR(INPUT!F36/(INPUT!F36+INPUT!F38),0)</f>
        <v>0.930232558139535</v>
      </c>
      <c r="I23" s="12" t="n">
        <f aca="false">IFERROR(INPUT!G36/(INPUT!G36+INPUT!G38),0)</f>
        <v>0.844155844155844</v>
      </c>
      <c r="J23" s="12" t="n">
        <f aca="false">IFERROR(INPUT!H36/(INPUT!H36+INPUT!H38),0)</f>
        <v>0.777777777777778</v>
      </c>
      <c r="K23" s="12" t="n">
        <f aca="false">IFERROR(INPUT!I36/(INPUT!I36+INPUT!I38),0)</f>
        <v>0.660714285714286</v>
      </c>
      <c r="L23" s="12" t="n">
        <f aca="false">IFERROR(INPUT!J36/(INPUT!J36+INPUT!J38),0)</f>
        <v>0.444444444444445</v>
      </c>
      <c r="M23" s="2" t="n">
        <v>1</v>
      </c>
      <c r="N23" s="2" t="n">
        <v>1</v>
      </c>
    </row>
    <row r="24" customFormat="false" ht="15" hidden="false" customHeight="false" outlineLevel="0" collapsed="false">
      <c r="B24" s="2"/>
      <c r="C24" s="2"/>
      <c r="D24" s="2" t="s">
        <v>41</v>
      </c>
      <c r="E24" s="2" t="s">
        <v>82</v>
      </c>
      <c r="F24" s="12" t="n">
        <f aca="false">IFERROR(INPUT!D38/(INPUT!D36+INPUT!D38),0)</f>
        <v>0</v>
      </c>
      <c r="G24" s="12" t="n">
        <f aca="false">IFERROR(INPUT!E38/(INPUT!E36+INPUT!E38),0)</f>
        <v>0</v>
      </c>
      <c r="H24" s="12" t="n">
        <f aca="false">IFERROR(INPUT!F38/(INPUT!F36+INPUT!F38),0)</f>
        <v>0.0697674418604651</v>
      </c>
      <c r="I24" s="12" t="n">
        <f aca="false">IFERROR(INPUT!G38/(INPUT!G36+INPUT!G38),0)</f>
        <v>0.155844155844156</v>
      </c>
      <c r="J24" s="12" t="n">
        <f aca="false">IFERROR(INPUT!H38/(INPUT!H36+INPUT!H38),0)</f>
        <v>0.222222222222222</v>
      </c>
      <c r="K24" s="12" t="n">
        <f aca="false">IFERROR(INPUT!I38/(INPUT!I36+INPUT!I38),0)</f>
        <v>0.339285714285714</v>
      </c>
      <c r="L24" s="12" t="n">
        <f aca="false">IFERROR(INPUT!J38/(INPUT!J36+INPUT!J38),0)</f>
        <v>0.555555555555556</v>
      </c>
      <c r="M24" s="2" t="n">
        <v>1</v>
      </c>
      <c r="N24" s="2" t="n">
        <v>1</v>
      </c>
    </row>
    <row r="25" customFormat="false" ht="15" hidden="false" customHeight="false" outlineLevel="0" collapsed="false">
      <c r="B25" s="2" t="s">
        <v>135</v>
      </c>
      <c r="C25" s="2" t="s">
        <v>136</v>
      </c>
      <c r="D25" s="2" t="s">
        <v>46</v>
      </c>
      <c r="E25" s="2" t="s">
        <v>88</v>
      </c>
      <c r="F25" s="12"/>
      <c r="G25" s="12"/>
      <c r="H25" s="12"/>
      <c r="I25" s="12"/>
      <c r="J25" s="12"/>
      <c r="K25" s="12"/>
      <c r="L25" s="12"/>
      <c r="M25" s="2" t="n">
        <v>1</v>
      </c>
      <c r="N25" s="2" t="n">
        <v>1</v>
      </c>
    </row>
    <row r="26" customFormat="false" ht="15" hidden="false" customHeight="false" outlineLevel="0" collapsed="false">
      <c r="B26" s="2" t="s">
        <v>131</v>
      </c>
      <c r="C26" s="2" t="s">
        <v>132</v>
      </c>
      <c r="D26" s="2" t="s">
        <v>36</v>
      </c>
      <c r="E26" s="2" t="s">
        <v>84</v>
      </c>
      <c r="F26" s="2"/>
      <c r="G26" s="2"/>
      <c r="H26" s="2"/>
      <c r="I26" s="2"/>
      <c r="J26" s="2"/>
      <c r="K26" s="2"/>
      <c r="L26" s="2"/>
      <c r="M26" s="2" t="n">
        <v>1</v>
      </c>
      <c r="N26" s="2" t="n">
        <v>1</v>
      </c>
    </row>
    <row r="27" customFormat="false" ht="15" hidden="false" customHeight="false" outlineLevel="0" collapsed="false">
      <c r="B27" s="2" t="s">
        <v>133</v>
      </c>
      <c r="C27" s="2" t="s">
        <v>134</v>
      </c>
      <c r="D27" s="2" t="s">
        <v>43</v>
      </c>
      <c r="E27" s="2" t="s">
        <v>86</v>
      </c>
      <c r="F27" s="12" t="n">
        <f aca="false">IFERROR(INPUT!D42/(INPUT!D42+INPUT!D43+INPUT!D44+INPUT!D46),0)</f>
        <v>0.423047479456546</v>
      </c>
      <c r="G27" s="12" t="n">
        <f aca="false">IFERROR(INPUT!E42/(INPUT!E42+INPUT!E43+INPUT!E44+INPUT!E46),0)</f>
        <v>0.383838383838384</v>
      </c>
      <c r="H27" s="12" t="n">
        <f aca="false">IFERROR(INPUT!F42/(INPUT!F42+INPUT!F43+INPUT!F44+INPUT!F46),0)</f>
        <v>0.404255319148936</v>
      </c>
      <c r="I27" s="12" t="n">
        <f aca="false">IFERROR(INPUT!G42/(INPUT!G42+INPUT!G43+INPUT!G44+INPUT!G46),0)</f>
        <v>0.386363636363636</v>
      </c>
      <c r="J27" s="12" t="n">
        <f aca="false">IFERROR(INPUT!H42/(INPUT!H42+INPUT!H43+INPUT!H44+INPUT!H46),0)</f>
        <v>0.354430379746836</v>
      </c>
      <c r="K27" s="12" t="n">
        <f aca="false">IFERROR(INPUT!I42/(INPUT!I42+INPUT!I43+INPUT!I44+INPUT!I46),0)</f>
        <v>0.307692307692308</v>
      </c>
      <c r="L27" s="12" t="n">
        <f aca="false">IFERROR(INPUT!J42/(INPUT!J42+INPUT!J43+INPUT!J44+INPUT!J46),0)</f>
        <v>0.217391304347826</v>
      </c>
      <c r="M27" s="2" t="n">
        <v>1</v>
      </c>
      <c r="N27" s="2" t="n">
        <v>1</v>
      </c>
    </row>
    <row r="28" customFormat="false" ht="15" hidden="false" customHeight="false" outlineLevel="0" collapsed="false">
      <c r="B28" s="2"/>
      <c r="C28" s="2"/>
      <c r="D28" s="2" t="s">
        <v>38</v>
      </c>
      <c r="E28" s="2" t="s">
        <v>86</v>
      </c>
      <c r="F28" s="12" t="n">
        <f aca="false">IFERROR(INPUT!D43/(INPUT!D42+INPUT!D43+INPUT!D44+INPUT!D46),0)</f>
        <v>0.557488083601759</v>
      </c>
      <c r="G28" s="12" t="n">
        <f aca="false">IFERROR(INPUT!E43/(INPUT!E42+INPUT!E43+INPUT!E44+INPUT!E46),0)</f>
        <v>0.595959595959596</v>
      </c>
      <c r="H28" s="12" t="n">
        <f aca="false">IFERROR(INPUT!F43/(INPUT!F42+INPUT!F43+INPUT!F44+INPUT!F46),0)</f>
        <v>0.531914893617021</v>
      </c>
      <c r="I28" s="12" t="n">
        <f aca="false">IFERROR(INPUT!G43/(INPUT!G42+INPUT!G43+INPUT!G44+INPUT!G46),0)</f>
        <v>0.511363636363636</v>
      </c>
      <c r="J28" s="12" t="n">
        <f aca="false">IFERROR(INPUT!H43/(INPUT!H42+INPUT!H43+INPUT!H44+INPUT!H46),0)</f>
        <v>0.443037974683544</v>
      </c>
      <c r="K28" s="12" t="n">
        <f aca="false">IFERROR(INPUT!I43/(INPUT!I42+INPUT!I43+INPUT!I44+INPUT!I46),0)</f>
        <v>0.415384615384615</v>
      </c>
      <c r="L28" s="12" t="n">
        <f aca="false">IFERROR(INPUT!J43/(INPUT!J42+INPUT!J43+INPUT!J44+INPUT!J46),0)</f>
        <v>0.260869565217391</v>
      </c>
      <c r="M28" s="2" t="n">
        <v>1</v>
      </c>
      <c r="N28" s="2" t="n">
        <v>1</v>
      </c>
    </row>
    <row r="29" customFormat="false" ht="15" hidden="false" customHeight="false" outlineLevel="0" collapsed="false">
      <c r="B29" s="2"/>
      <c r="C29" s="2"/>
      <c r="D29" s="2" t="s">
        <v>40</v>
      </c>
      <c r="E29" s="2" t="s">
        <v>86</v>
      </c>
      <c r="F29" s="12" t="n">
        <f aca="false">IFERROR(INPUT!D44/(INPUT!D42+INPUT!D43+INPUT!D44+INPUT!D46),0)</f>
        <v>0.0194644369416951</v>
      </c>
      <c r="G29" s="12" t="n">
        <f aca="false">IFERROR(INPUT!E44/(INPUT!E42+INPUT!E43+INPUT!E44+INPUT!E46),0)</f>
        <v>0.0202020202020202</v>
      </c>
      <c r="H29" s="12" t="n">
        <f aca="false">IFERROR(INPUT!F44/(INPUT!F42+INPUT!F43+INPUT!F44+INPUT!F46),0)</f>
        <v>0.0425531914893617</v>
      </c>
      <c r="I29" s="12" t="n">
        <f aca="false">IFERROR(INPUT!G44/(INPUT!G42+INPUT!G43+INPUT!G44+INPUT!G46),0)</f>
        <v>0.0568181818181818</v>
      </c>
      <c r="J29" s="12" t="n">
        <f aca="false">IFERROR(INPUT!H44/(INPUT!H42+INPUT!H43+INPUT!H44+INPUT!H46),0)</f>
        <v>0.0759493670886076</v>
      </c>
      <c r="K29" s="12" t="n">
        <f aca="false">IFERROR(INPUT!I44/(INPUT!I42+INPUT!I43+INPUT!I44+INPUT!I46),0)</f>
        <v>0.0923076923076923</v>
      </c>
      <c r="L29" s="12" t="n">
        <f aca="false">IFERROR(INPUT!J44/(INPUT!J42+INPUT!J43+INPUT!J44+INPUT!J46),0)</f>
        <v>0.130434782608696</v>
      </c>
      <c r="M29" s="2" t="n">
        <v>1</v>
      </c>
      <c r="N29" s="2" t="n">
        <v>1</v>
      </c>
    </row>
    <row r="30" customFormat="false" ht="15" hidden="false" customHeight="false" outlineLevel="0" collapsed="false">
      <c r="B30" s="2"/>
      <c r="C30" s="2"/>
      <c r="D30" s="2" t="s">
        <v>41</v>
      </c>
      <c r="E30" s="2" t="s">
        <v>86</v>
      </c>
      <c r="F30" s="12" t="n">
        <f aca="false">IFERROR(INPUT!D46/(INPUT!D42+INPUT!D43+INPUT!D44+INPUT!D46),0)</f>
        <v>0</v>
      </c>
      <c r="G30" s="12" t="n">
        <f aca="false">IFERROR(INPUT!E46/(INPUT!E42+INPUT!E43+INPUT!E44+INPUT!E46),0)</f>
        <v>0</v>
      </c>
      <c r="H30" s="12" t="n">
        <f aca="false">IFERROR(INPUT!F46/(INPUT!F42+INPUT!F43+INPUT!F44+INPUT!F46),0)</f>
        <v>0.0212765957446809</v>
      </c>
      <c r="I30" s="12" t="n">
        <f aca="false">IFERROR(INPUT!G46/(INPUT!G42+INPUT!G43+INPUT!G44+INPUT!G46),0)</f>
        <v>0.0454545454545455</v>
      </c>
      <c r="J30" s="12" t="n">
        <f aca="false">IFERROR(INPUT!H46/(INPUT!H42+INPUT!H43+INPUT!H44+INPUT!H46),0)</f>
        <v>0.126582278481013</v>
      </c>
      <c r="K30" s="12" t="n">
        <f aca="false">IFERROR(INPUT!I46/(INPUT!I42+INPUT!I43+INPUT!I44+INPUT!I46),0)</f>
        <v>0.184615384615385</v>
      </c>
      <c r="L30" s="12" t="n">
        <f aca="false">IFERROR(INPUT!J46/(INPUT!J42+INPUT!J43+INPUT!J44+INPUT!J46),0)</f>
        <v>0.391304347826087</v>
      </c>
      <c r="M30" s="2" t="n">
        <v>1</v>
      </c>
      <c r="N30" s="2" t="n">
        <v>1</v>
      </c>
    </row>
    <row r="31" customFormat="false" ht="15" hidden="false" customHeight="false" outlineLevel="0" collapsed="false">
      <c r="B31" s="2" t="s">
        <v>137</v>
      </c>
      <c r="C31" s="2" t="s">
        <v>138</v>
      </c>
      <c r="D31" s="2" t="s">
        <v>46</v>
      </c>
      <c r="E31" s="2" t="s">
        <v>90</v>
      </c>
      <c r="F31" s="12"/>
      <c r="G31" s="12"/>
      <c r="H31" s="12"/>
      <c r="I31" s="12"/>
      <c r="J31" s="12"/>
      <c r="K31" s="12"/>
      <c r="L31" s="12"/>
      <c r="M31" s="2" t="n">
        <v>1</v>
      </c>
      <c r="N31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7148437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9" min="3" style="0" width="10"/>
  </cols>
  <sheetData>
    <row r="2" customFormat="false" ht="15.75" hidden="false" customHeight="true" outlineLevel="0" collapsed="false">
      <c r="B2" s="1" t="s">
        <v>160</v>
      </c>
    </row>
    <row r="3" customFormat="false" ht="15" hidden="false" customHeight="false" outlineLevel="0" collapsed="false">
      <c r="B3" s="3" t="s">
        <v>161</v>
      </c>
    </row>
    <row r="4" customFormat="false" ht="15" hidden="false" customHeight="false" outlineLevel="0" collapsed="false">
      <c r="B4" s="10" t="s">
        <v>162</v>
      </c>
    </row>
    <row r="5" customFormat="false" ht="15" hidden="false" customHeight="false" outlineLevel="0" collapsed="false">
      <c r="B5" s="5" t="s">
        <v>51</v>
      </c>
      <c r="C5" s="5" t="n">
        <v>2023</v>
      </c>
      <c r="D5" s="5" t="n">
        <v>2025</v>
      </c>
      <c r="E5" s="5" t="n">
        <v>2030</v>
      </c>
      <c r="F5" s="5" t="n">
        <v>2035</v>
      </c>
      <c r="G5" s="5" t="n">
        <v>2040</v>
      </c>
      <c r="H5" s="5" t="n">
        <v>2045</v>
      </c>
      <c r="I5" s="5" t="n">
        <v>2050</v>
      </c>
    </row>
    <row r="6" customFormat="false" ht="15" hidden="false" customHeight="false" outlineLevel="0" collapsed="false">
      <c r="B6" s="11" t="s">
        <v>163</v>
      </c>
      <c r="C6" s="11" t="s">
        <v>164</v>
      </c>
      <c r="D6" s="11" t="s">
        <v>164</v>
      </c>
      <c r="E6" s="11" t="s">
        <v>164</v>
      </c>
      <c r="F6" s="11" t="s">
        <v>164</v>
      </c>
      <c r="G6" s="11" t="s">
        <v>164</v>
      </c>
      <c r="H6" s="11" t="s">
        <v>164</v>
      </c>
      <c r="I6" s="11" t="s">
        <v>164</v>
      </c>
    </row>
    <row r="7" customFormat="false" ht="15" hidden="false" customHeight="false" outlineLevel="0" collapsed="false">
      <c r="B7" s="2" t="s">
        <v>66</v>
      </c>
      <c r="C7" s="13" t="n">
        <f aca="false">INPUT!C6*INPUT!D15</f>
        <v>8.05312323943661</v>
      </c>
      <c r="D7" s="13" t="n">
        <f aca="false">INPUT!D6*INPUT!E15</f>
        <v>7.96933999647897</v>
      </c>
      <c r="E7" s="13" t="n">
        <f aca="false">INPUT!E6*INPUT!F15</f>
        <v>8.3625709490791</v>
      </c>
      <c r="F7" s="13" t="n">
        <f aca="false">INPUT!F6*INPUT!G15</f>
        <v>8.9839160046046</v>
      </c>
      <c r="G7" s="13" t="n">
        <f aca="false">INPUT!G6*INPUT!H15</f>
        <v>10.2237871630553</v>
      </c>
      <c r="H7" s="13" t="n">
        <f aca="false">INPUT!H6*INPUT!I15</f>
        <v>11.9359680244313</v>
      </c>
      <c r="I7" s="13" t="n">
        <f aca="false">INPUT!I6*INPUT!J15</f>
        <v>13.9466306167931</v>
      </c>
    </row>
    <row r="8" customFormat="false" ht="15" hidden="false" customHeight="false" outlineLevel="0" collapsed="false">
      <c r="B8" s="2" t="s">
        <v>70</v>
      </c>
      <c r="C8" s="13" t="n">
        <f aca="false">INPUT!C6*(INPUT!D16+INPUT!D17+INPUT!D18)</f>
        <v>6.3327</v>
      </c>
      <c r="D8" s="13" t="n">
        <f aca="false">INPUT!D6*(INPUT!E16+INPUT!E17+INPUT!E18)</f>
        <v>5.77090137676063</v>
      </c>
      <c r="E8" s="13" t="n">
        <f aca="false">INPUT!E6*(INPUT!F16+INPUT!F17+INPUT!F18)</f>
        <v>5.1254467107259</v>
      </c>
      <c r="F8" s="13" t="n">
        <f aca="false">INPUT!F6*(INPUT!G16+INPUT!G17+INPUT!G18)</f>
        <v>4.628077941766</v>
      </c>
      <c r="G8" s="13" t="n">
        <f aca="false">INPUT!G6*(INPUT!H16+INPUT!H17+INPUT!H18)</f>
        <v>4.38162306988083</v>
      </c>
      <c r="H8" s="13" t="n">
        <f aca="false">INPUT!H6*(INPUT!I16+INPUT!I17+INPUT!I18)</f>
        <v>4.19371849507044</v>
      </c>
      <c r="I8" s="13" t="n">
        <f aca="false">INPUT!I6*(INPUT!J16+INPUT!J17+INPUT!J18)</f>
        <v>3.70733218927411</v>
      </c>
    </row>
    <row r="9" customFormat="false" ht="15" hidden="false" customHeight="false" outlineLevel="0" collapsed="false">
      <c r="B9" s="2" t="s">
        <v>72</v>
      </c>
      <c r="C9" s="13" t="n">
        <f aca="false">INPUT!C7*INPUT!D21</f>
        <v>10.8519874996518</v>
      </c>
      <c r="D9" s="13" t="n">
        <f aca="false">INPUT!D7*INPUT!E21</f>
        <v>10.0644929006</v>
      </c>
      <c r="E9" s="13" t="n">
        <f aca="false">INPUT!E7*INPUT!F21</f>
        <v>13.7316499164</v>
      </c>
      <c r="F9" s="13" t="n">
        <f aca="false">INPUT!F7*INPUT!G21</f>
        <v>17.5252265776</v>
      </c>
      <c r="G9" s="13" t="n">
        <f aca="false">INPUT!G7*INPUT!H21</f>
        <v>20.739929654</v>
      </c>
      <c r="H9" s="13" t="n">
        <f aca="false">INPUT!H7*INPUT!I21</f>
        <v>26.87005524</v>
      </c>
      <c r="I9" s="13" t="n">
        <f aca="false">INPUT!I7*INPUT!J21</f>
        <v>31.22277099</v>
      </c>
    </row>
    <row r="10" customFormat="false" ht="15" hidden="false" customHeight="false" outlineLevel="0" collapsed="false">
      <c r="B10" s="2" t="s">
        <v>74</v>
      </c>
      <c r="C10" s="13" t="n">
        <f aca="false">INPUT!C7*(INPUT!D22+INPUT!D23+INPUT!D24+INPUT!D25+INPUT!D26+INPUT!D27)</f>
        <v>12.5841246723482</v>
      </c>
      <c r="D10" s="13" t="n">
        <f aca="false">INPUT!D7*(INPUT!E22+INPUT!E23+INPUT!E24+INPUT!E25+INPUT!E26+INPUT!E27)</f>
        <v>14.4830507594</v>
      </c>
      <c r="E10" s="13" t="n">
        <f aca="false">INPUT!E7*(INPUT!F22+INPUT!F23+INPUT!F24+INPUT!F25+INPUT!F26+INPUT!F27)</f>
        <v>12.6753691536</v>
      </c>
      <c r="F10" s="13" t="n">
        <f aca="false">INPUT!F7*(INPUT!G22+INPUT!G23+INPUT!G24+INPUT!G25+INPUT!G26+INPUT!G27)</f>
        <v>10.7412679024</v>
      </c>
      <c r="G10" s="13" t="n">
        <f aca="false">INPUT!G7*(INPUT!H22+INPUT!H23+INPUT!H24+INPUT!H25+INPUT!H26+INPUT!H27)</f>
        <v>9.759966896</v>
      </c>
      <c r="H10" s="13" t="n">
        <f aca="false">INPUT!H7*(INPUT!I22+INPUT!I23+INPUT!I24+INPUT!I25+INPUT!I26+INPUT!I27)</f>
        <v>8.95668508</v>
      </c>
      <c r="I10" s="13" t="n">
        <f aca="false">INPUT!I7*(INPUT!J22+INPUT!J23+INPUT!J24+INPUT!J25+INPUT!J26+INPUT!J27)</f>
        <v>10.40759033</v>
      </c>
    </row>
    <row r="11" customFormat="false" ht="15" hidden="false" customHeight="false" outlineLevel="0" collapsed="false">
      <c r="B11" s="2" t="s">
        <v>76</v>
      </c>
      <c r="C11" s="13" t="n">
        <f aca="false">INPUT!C8*INPUT!D30</f>
        <v>7.611362</v>
      </c>
      <c r="D11" s="13" t="n">
        <f aca="false">INPUT!D8*INPUT!E30</f>
        <v>7.39979757</v>
      </c>
      <c r="E11" s="13" t="n">
        <f aca="false">INPUT!E8*INPUT!F30</f>
        <v>8.61721211999996</v>
      </c>
      <c r="F11" s="13" t="n">
        <f aca="false">INPUT!F8*INPUT!G30</f>
        <v>10.0453136215385</v>
      </c>
      <c r="G11" s="13" t="n">
        <f aca="false">INPUT!G8*INPUT!H30</f>
        <v>11.4540379292307</v>
      </c>
      <c r="H11" s="13" t="n">
        <f aca="false">INPUT!H8*INPUT!I30</f>
        <v>12.54044099</v>
      </c>
      <c r="I11" s="13" t="n">
        <f aca="false">INPUT!I8*INPUT!J30</f>
        <v>13.36944994</v>
      </c>
    </row>
    <row r="12" customFormat="false" ht="15" hidden="false" customHeight="false" outlineLevel="0" collapsed="false">
      <c r="B12" s="2" t="s">
        <v>78</v>
      </c>
      <c r="C12" s="13" t="n">
        <f aca="false">INPUT!C8*(INPUT!D31+INPUT!D32+INPUT!D33)</f>
        <v>2.3408</v>
      </c>
      <c r="D12" s="13" t="n">
        <f aca="false">INPUT!D8*(INPUT!E31+INPUT!E32+INPUT!E33)</f>
        <v>2.73691143</v>
      </c>
      <c r="E12" s="13" t="n">
        <f aca="false">INPUT!E8*(INPUT!F31+INPUT!F32+INPUT!F33)</f>
        <v>2.43049572615384</v>
      </c>
      <c r="F12" s="13" t="n">
        <f aca="false">INPUT!F8*(INPUT!G31+INPUT!G32+INPUT!G33)</f>
        <v>1.91339307076923</v>
      </c>
      <c r="G12" s="13" t="n">
        <f aca="false">INPUT!G8*(INPUT!H31+INPUT!H32+INPUT!H33)</f>
        <v>1.41566760923077</v>
      </c>
      <c r="H12" s="13" t="n">
        <f aca="false">INPUT!H8*(INPUT!I31+INPUT!I32+INPUT!I33)</f>
        <v>1.24026339461539</v>
      </c>
      <c r="I12" s="13" t="n">
        <f aca="false">INPUT!I8*(INPUT!J31+INPUT!J32+INPUT!J33)</f>
        <v>1.32225329076923</v>
      </c>
    </row>
    <row r="13" customFormat="false" ht="15" hidden="false" customHeight="false" outlineLevel="0" collapsed="false">
      <c r="B13" s="2" t="s">
        <v>80</v>
      </c>
      <c r="C13" s="13" t="n">
        <f aca="false">INPUT!C9*INPUT!D37</f>
        <v>3.263866056</v>
      </c>
      <c r="D13" s="13" t="n">
        <f aca="false">INPUT!D9*INPUT!E37</f>
        <v>0.259447985279999</v>
      </c>
      <c r="E13" s="13" t="n">
        <f aca="false">INPUT!E9*INPUT!F37</f>
        <v>0.565475311827686</v>
      </c>
      <c r="F13" s="13" t="n">
        <f aca="false">INPUT!F9*INPUT!G37</f>
        <v>0.820842082440218</v>
      </c>
      <c r="G13" s="13" t="n">
        <f aca="false">INPUT!G9*INPUT!H37</f>
        <v>1.39708430709325</v>
      </c>
      <c r="H13" s="13" t="n">
        <f aca="false">INPUT!H9*INPUT!I37</f>
        <v>1.93689363556553</v>
      </c>
      <c r="I13" s="13" t="n">
        <f aca="false">INPUT!I9*INPUT!J37</f>
        <v>2.65779564530691</v>
      </c>
    </row>
    <row r="14" customFormat="false" ht="15" hidden="false" customHeight="false" outlineLevel="0" collapsed="false">
      <c r="B14" s="2" t="s">
        <v>82</v>
      </c>
      <c r="C14" s="13" t="n">
        <f aca="false">INPUT!C9*(INPUT!D36+INPUT!D38)</f>
        <v>0.833910000000002</v>
      </c>
      <c r="D14" s="13" t="n">
        <f aca="false">INPUT!D9*(INPUT!E36+INPUT!E38)</f>
        <v>4.06468510271999</v>
      </c>
      <c r="E14" s="13" t="n">
        <f aca="false">INPUT!E9*(INPUT!F36+INPUT!F38)</f>
        <v>4.42098880156191</v>
      </c>
      <c r="F14" s="13" t="n">
        <f aca="false">INPUT!F9*(INPUT!G36+INPUT!G38)</f>
        <v>4.5146314534212</v>
      </c>
      <c r="G14" s="13" t="n">
        <f aca="false">INPUT!G9*(INPUT!H36+INPUT!H38)</f>
        <v>4.19125292127976</v>
      </c>
      <c r="H14" s="13" t="n">
        <f aca="false">INPUT!H9*(INPUT!I36+INPUT!I38)</f>
        <v>4.33864174366679</v>
      </c>
      <c r="I14" s="13" t="n">
        <f aca="false">INPUT!I9*(INPUT!J36+INPUT!J38)</f>
        <v>3.98669346796037</v>
      </c>
    </row>
    <row r="15" customFormat="false" ht="15" hidden="false" customHeight="false" outlineLevel="0" collapsed="false">
      <c r="B15" s="2" t="s">
        <v>84</v>
      </c>
      <c r="C15" s="13" t="n">
        <f aca="false">INPUT!C10*INPUT!D45</f>
        <v>0.464113068681686</v>
      </c>
      <c r="D15" s="13" t="n">
        <f aca="false">INPUT!D10*INPUT!E45</f>
        <v>0.354520179199999</v>
      </c>
      <c r="E15" s="13" t="n">
        <f aca="false">INPUT!E10*INPUT!F45</f>
        <v>1.99800950813052</v>
      </c>
      <c r="F15" s="13" t="n">
        <f aca="false">INPUT!F10*INPUT!G45</f>
        <v>3.07231224368565</v>
      </c>
      <c r="G15" s="13" t="n">
        <f aca="false">INPUT!G10*INPUT!H45</f>
        <v>6.21484485160642</v>
      </c>
      <c r="H15" s="13" t="n">
        <f aca="false">INPUT!H10*INPUT!I45</f>
        <v>10.9455968770298</v>
      </c>
      <c r="I15" s="13" t="n">
        <f aca="false">INPUT!I10*INPUT!J45</f>
        <v>19.659714678882</v>
      </c>
    </row>
    <row r="16" customFormat="false" ht="15" hidden="false" customHeight="false" outlineLevel="0" collapsed="false">
      <c r="B16" s="2" t="s">
        <v>86</v>
      </c>
      <c r="C16" s="13" t="n">
        <f aca="false">INPUT!C10*(INPUT!D42+INPUT!D43+INPUT!D44+INPUT!D46)</f>
        <v>34.0831543463119</v>
      </c>
      <c r="D16" s="13" t="n">
        <f aca="false">INPUT!D10*(INPUT!E42+INPUT!E43+INPUT!E44+INPUT!E46)</f>
        <v>35.0974977407999</v>
      </c>
      <c r="E16" s="13" t="n">
        <f aca="false">INPUT!E10*(INPUT!F42+INPUT!F43+INPUT!F44+INPUT!F46)</f>
        <v>37.5625787528538</v>
      </c>
      <c r="F16" s="13" t="n">
        <f aca="false">INPUT!F10*(INPUT!G42+INPUT!G43+INPUT!G44+INPUT!G46)</f>
        <v>38.6233539206196</v>
      </c>
      <c r="G16" s="13" t="n">
        <f aca="false">INPUT!G10*(INPUT!H42+INPUT!H43+INPUT!H44+INPUT!H46)</f>
        <v>37.7671340982236</v>
      </c>
      <c r="H16" s="13" t="n">
        <f aca="false">INPUT!H10*(INPUT!I42+INPUT!I43+INPUT!I44+INPUT!I46)</f>
        <v>33.8792284289019</v>
      </c>
      <c r="I16" s="13" t="n">
        <f aca="false">INPUT!I10*(INPUT!J42+INPUT!J43+INPUT!J44+INPUT!J46)</f>
        <v>25.8384821493877</v>
      </c>
    </row>
    <row r="17" customFormat="false" ht="15" hidden="false" customHeight="false" outlineLevel="0" collapsed="false">
      <c r="B17" s="2" t="s">
        <v>88</v>
      </c>
      <c r="C17" s="13" t="n">
        <f aca="false">INPUT!C9*INPUT!D39</f>
        <v>0</v>
      </c>
      <c r="D17" s="13" t="n">
        <f aca="false">INPUT!D9*INPUT!E39</f>
        <v>0</v>
      </c>
      <c r="E17" s="13" t="n">
        <f aca="false">INPUT!E9*INPUT!F39</f>
        <v>0.154220539589369</v>
      </c>
      <c r="F17" s="13" t="n">
        <f aca="false">INPUT!F9*INPUT!G39</f>
        <v>0.527684195854426</v>
      </c>
      <c r="G17" s="13" t="n">
        <f aca="false">INPUT!G9*INPUT!H39</f>
        <v>1.06444518635676</v>
      </c>
      <c r="H17" s="13" t="n">
        <f aca="false">INPUT!H9*INPUT!I39</f>
        <v>1.4720391630298</v>
      </c>
      <c r="I17" s="13" t="n">
        <f aca="false">INPUT!I9*INPUT!J39</f>
        <v>2.21482970442243</v>
      </c>
    </row>
    <row r="18" customFormat="false" ht="15" hidden="false" customHeight="false" outlineLevel="0" collapsed="false">
      <c r="B18" s="2" t="s">
        <v>90</v>
      </c>
      <c r="C18" s="13" t="n">
        <f aca="false">INPUT!C10*INPUT!D47</f>
        <v>0</v>
      </c>
      <c r="D18" s="13" t="n">
        <f aca="false">INPUT!D10*INPUT!E47</f>
        <v>0</v>
      </c>
      <c r="E18" s="13" t="n">
        <f aca="false">INPUT!E10*INPUT!F47</f>
        <v>0.399601901626104</v>
      </c>
      <c r="F18" s="13" t="n">
        <f aca="false">INPUT!F10*INPUT!G47</f>
        <v>2.19450874548975</v>
      </c>
      <c r="G18" s="13" t="n">
        <f aca="false">INPUT!G10*INPUT!H47</f>
        <v>3.82451990868087</v>
      </c>
      <c r="H18" s="13" t="n">
        <f aca="false">INPUT!H10*INPUT!I47</f>
        <v>7.29706458468656</v>
      </c>
      <c r="I18" s="13" t="n">
        <f aca="false">INPUT!I10*INPUT!J47</f>
        <v>10.6724165399645</v>
      </c>
    </row>
    <row r="19" customFormat="false" ht="15" hidden="false" customHeight="false" outlineLevel="0" collapsed="false">
      <c r="B19" s="3"/>
      <c r="C19" s="14"/>
      <c r="D19" s="14"/>
      <c r="E19" s="14"/>
      <c r="F19" s="14"/>
      <c r="G19" s="14"/>
      <c r="H19" s="14"/>
      <c r="I19" s="14"/>
    </row>
    <row r="20" customFormat="false" ht="15" hidden="false" customHeight="false" outlineLevel="0" collapsed="false">
      <c r="B20" s="3" t="s">
        <v>165</v>
      </c>
      <c r="C20" s="14"/>
      <c r="D20" s="14"/>
      <c r="E20" s="14"/>
      <c r="F20" s="14"/>
      <c r="G20" s="14"/>
      <c r="H20" s="14"/>
      <c r="I20" s="14"/>
    </row>
    <row r="21" customFormat="false" ht="15" hidden="false" customHeight="false" outlineLevel="0" collapsed="false">
      <c r="B21" s="3" t="s">
        <v>28</v>
      </c>
      <c r="C21" s="14" t="n">
        <f aca="false">C7+C8-INPUT!C6</f>
        <v>0</v>
      </c>
      <c r="D21" s="14" t="n">
        <f aca="false">D7+D8-INPUT!D6</f>
        <v>0</v>
      </c>
      <c r="E21" s="14" t="n">
        <f aca="false">E7+E8-INPUT!E6</f>
        <v>0</v>
      </c>
      <c r="F21" s="14" t="n">
        <f aca="false">F7+F8-INPUT!F6</f>
        <v>0</v>
      </c>
      <c r="G21" s="14" t="n">
        <f aca="false">G7+G8-INPUT!G6</f>
        <v>0</v>
      </c>
      <c r="H21" s="14" t="n">
        <f aca="false">H7+H8-INPUT!H6</f>
        <v>0</v>
      </c>
      <c r="I21" s="14" t="n">
        <f aca="false">I7+I8-INPUT!I6</f>
        <v>0</v>
      </c>
    </row>
    <row r="22" customFormat="false" ht="15" hidden="false" customHeight="false" outlineLevel="0" collapsed="false">
      <c r="B22" s="3" t="s">
        <v>29</v>
      </c>
      <c r="C22" s="14" t="n">
        <f aca="false">C9+C10-INPUT!C7</f>
        <v>0</v>
      </c>
      <c r="D22" s="14" t="n">
        <f aca="false">D9+D10-INPUT!D7</f>
        <v>0</v>
      </c>
      <c r="E22" s="14" t="n">
        <f aca="false">E9+E10-INPUT!E7</f>
        <v>0</v>
      </c>
      <c r="F22" s="14" t="n">
        <f aca="false">F9+F10-INPUT!F7</f>
        <v>0</v>
      </c>
      <c r="G22" s="14" t="n">
        <f aca="false">G9+G10-INPUT!G7</f>
        <v>0</v>
      </c>
      <c r="H22" s="14" t="n">
        <f aca="false">H9+H10-INPUT!H7</f>
        <v>0</v>
      </c>
      <c r="I22" s="14" t="n">
        <f aca="false">I9+I10-INPUT!I7</f>
        <v>0</v>
      </c>
    </row>
    <row r="23" customFormat="false" ht="15" hidden="false" customHeight="false" outlineLevel="0" collapsed="false">
      <c r="B23" s="3" t="s">
        <v>30</v>
      </c>
      <c r="C23" s="14" t="n">
        <f aca="false">C11+C12-INPUT!C8</f>
        <v>0</v>
      </c>
      <c r="D23" s="14" t="n">
        <f aca="false">D11+D12-INPUT!D8</f>
        <v>0</v>
      </c>
      <c r="E23" s="14" t="n">
        <f aca="false">E11+E12-INPUT!E8</f>
        <v>0</v>
      </c>
      <c r="F23" s="14" t="n">
        <f aca="false">F11+F12-INPUT!F8</f>
        <v>0</v>
      </c>
      <c r="G23" s="14" t="n">
        <f aca="false">G11+G12-INPUT!G8</f>
        <v>0</v>
      </c>
      <c r="H23" s="14" t="n">
        <f aca="false">H11+H12-INPUT!H8</f>
        <v>0</v>
      </c>
      <c r="I23" s="14" t="n">
        <f aca="false">I11+I12-INPUT!I8</f>
        <v>0</v>
      </c>
    </row>
    <row r="24" customFormat="false" ht="15" hidden="false" customHeight="false" outlineLevel="0" collapsed="false">
      <c r="B24" s="0" t="s">
        <v>31</v>
      </c>
      <c r="C24" s="0" t="n">
        <f aca="false">C13+C14+C17-INPUT!C9</f>
        <v>0</v>
      </c>
      <c r="D24" s="0" t="n">
        <f aca="false">D13+D14+D17-INPUT!D9</f>
        <v>0</v>
      </c>
      <c r="E24" s="0" t="n">
        <f aca="false">E13+E14+E17-INPUT!E9</f>
        <v>0</v>
      </c>
      <c r="F24" s="0" t="n">
        <f aca="false">F13+F14+F17-INPUT!F9</f>
        <v>0</v>
      </c>
      <c r="G24" s="0" t="n">
        <f aca="false">G13+G14+G17-INPUT!G9</f>
        <v>0</v>
      </c>
      <c r="H24" s="0" t="n">
        <f aca="false">H13+H14+H17-INPUT!H9</f>
        <v>0</v>
      </c>
      <c r="I24" s="0" t="n">
        <f aca="false">I13+I14+I17-INPUT!I9</f>
        <v>0</v>
      </c>
    </row>
    <row r="25" customFormat="false" ht="15" hidden="false" customHeight="false" outlineLevel="0" collapsed="false">
      <c r="B25" s="0" t="s">
        <v>32</v>
      </c>
      <c r="C25" s="0" t="n">
        <f aca="false">C15+C16+C18-INPUT!C10</f>
        <v>0</v>
      </c>
      <c r="D25" s="0" t="n">
        <f aca="false">D15+D16+D18-INPUT!D10</f>
        <v>0</v>
      </c>
      <c r="E25" s="0" t="n">
        <f aca="false">E15+E16+E18-INPUT!E10</f>
        <v>0</v>
      </c>
      <c r="F25" s="0" t="n">
        <f aca="false">F15+F16+F18-INPUT!F10</f>
        <v>0</v>
      </c>
      <c r="G25" s="0" t="n">
        <f aca="false">G15+G16+G18-INPUT!G10</f>
        <v>0</v>
      </c>
      <c r="H25" s="0" t="n">
        <f aca="false">H15+H16+H18-INPUT!H10</f>
        <v>0</v>
      </c>
      <c r="I25" s="0" t="n">
        <f aca="false">I15+I16+I18-INPUT!I10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8" activeCellId="0" sqref="J28"/>
    </sheetView>
  </sheetViews>
  <sheetFormatPr defaultColWidth="8.71484375" defaultRowHeight="15" zeroHeight="false" outlineLevelRow="0" outlineLevelCol="0"/>
  <cols>
    <col collapsed="false" customWidth="true" hidden="false" outlineLevel="0" max="2" min="2" style="0" width="16"/>
  </cols>
  <sheetData>
    <row r="2" customFormat="false" ht="15.75" hidden="false" customHeight="true" outlineLevel="0" collapsed="false">
      <c r="B2" s="1" t="s">
        <v>166</v>
      </c>
    </row>
    <row r="4" customFormat="false" ht="15" hidden="false" customHeight="false" outlineLevel="0" collapsed="false">
      <c r="B4" s="10" t="s">
        <v>167</v>
      </c>
    </row>
    <row r="5" customFormat="false" ht="15" hidden="false" customHeight="false" outlineLevel="0" collapsed="false">
      <c r="B5" s="5" t="s">
        <v>96</v>
      </c>
      <c r="C5" s="5" t="s">
        <v>51</v>
      </c>
      <c r="D5" s="5" t="s">
        <v>38</v>
      </c>
      <c r="E5" s="5" t="s">
        <v>40</v>
      </c>
      <c r="F5" s="5" t="s">
        <v>41</v>
      </c>
      <c r="G5" s="5" t="s">
        <v>43</v>
      </c>
      <c r="H5" s="5" t="s">
        <v>44</v>
      </c>
      <c r="I5" s="5" t="s">
        <v>45</v>
      </c>
    </row>
    <row r="6" customFormat="false" ht="15" hidden="false" customHeight="false" outlineLevel="0" collapsed="false">
      <c r="B6" s="11" t="s">
        <v>154</v>
      </c>
      <c r="C6" s="11" t="s">
        <v>168</v>
      </c>
      <c r="D6" s="11" t="s">
        <v>169</v>
      </c>
      <c r="E6" s="11" t="s">
        <v>169</v>
      </c>
      <c r="F6" s="11" t="s">
        <v>169</v>
      </c>
      <c r="G6" s="11" t="s">
        <v>169</v>
      </c>
      <c r="H6" s="11" t="s">
        <v>169</v>
      </c>
      <c r="I6" s="11" t="s">
        <v>169</v>
      </c>
    </row>
    <row r="7" customFormat="false" ht="15" hidden="false" customHeight="false" outlineLevel="0" collapsed="false">
      <c r="B7" s="2" t="s">
        <v>116</v>
      </c>
      <c r="C7" s="2" t="s">
        <v>170</v>
      </c>
      <c r="D7" s="2" t="n">
        <f aca="false">INPUT!B52</f>
        <v>74.1</v>
      </c>
      <c r="E7" s="2" t="n">
        <f aca="false">INPUT!C52</f>
        <v>63.1</v>
      </c>
      <c r="F7" s="2" t="n">
        <f aca="false">INPUT!D52</f>
        <v>56.1</v>
      </c>
      <c r="G7" s="2" t="n">
        <f aca="false">INPUT!E52</f>
        <v>69.3</v>
      </c>
      <c r="H7" s="2" t="n">
        <f aca="false">INPUT!F52</f>
        <v>77.4</v>
      </c>
      <c r="I7" s="2" t="n">
        <f aca="false">INPUT!G52</f>
        <v>95</v>
      </c>
    </row>
    <row r="8" customFormat="false" ht="15" hidden="false" customHeight="false" outlineLevel="0" collapsed="false">
      <c r="B8" s="2" t="s">
        <v>121</v>
      </c>
      <c r="C8" s="2" t="s">
        <v>170</v>
      </c>
      <c r="D8" s="2" t="n">
        <f aca="false">INPUT!B52</f>
        <v>74.1</v>
      </c>
      <c r="E8" s="2" t="n">
        <f aca="false">INPUT!C52</f>
        <v>63.1</v>
      </c>
      <c r="F8" s="2" t="n">
        <f aca="false">INPUT!D52</f>
        <v>56.1</v>
      </c>
      <c r="G8" s="2" t="n">
        <f aca="false">INPUT!E52</f>
        <v>69.3</v>
      </c>
      <c r="H8" s="2" t="n">
        <f aca="false">INPUT!F52</f>
        <v>77.4</v>
      </c>
      <c r="I8" s="2" t="n">
        <f aca="false">INPUT!G52</f>
        <v>95</v>
      </c>
    </row>
    <row r="9" customFormat="false" ht="15" hidden="false" customHeight="false" outlineLevel="0" collapsed="false">
      <c r="B9" s="2" t="s">
        <v>125</v>
      </c>
      <c r="C9" s="2" t="s">
        <v>170</v>
      </c>
      <c r="D9" s="2" t="n">
        <f aca="false">INPUT!B52</f>
        <v>74.1</v>
      </c>
      <c r="E9" s="2" t="n">
        <f aca="false">INPUT!C52</f>
        <v>63.1</v>
      </c>
      <c r="F9" s="2" t="n">
        <f aca="false">INPUT!D52</f>
        <v>56.1</v>
      </c>
      <c r="G9" s="2" t="n">
        <f aca="false">INPUT!E52</f>
        <v>69.3</v>
      </c>
      <c r="H9" s="2" t="n">
        <f aca="false">INPUT!F52</f>
        <v>77.4</v>
      </c>
      <c r="I9" s="2" t="n">
        <f aca="false">INPUT!G52</f>
        <v>95</v>
      </c>
    </row>
    <row r="10" customFormat="false" ht="15" hidden="false" customHeight="false" outlineLevel="0" collapsed="false">
      <c r="B10" s="2" t="s">
        <v>129</v>
      </c>
      <c r="C10" s="2" t="s">
        <v>170</v>
      </c>
      <c r="D10" s="2" t="n">
        <f aca="false">INPUT!B52</f>
        <v>74.1</v>
      </c>
      <c r="E10" s="2" t="n">
        <f aca="false">INPUT!C52</f>
        <v>63.1</v>
      </c>
      <c r="F10" s="2" t="n">
        <f aca="false">INPUT!D52</f>
        <v>56.1</v>
      </c>
      <c r="G10" s="2" t="n">
        <f aca="false">INPUT!E52</f>
        <v>69.3</v>
      </c>
      <c r="H10" s="2" t="n">
        <f aca="false">INPUT!F52</f>
        <v>77.4</v>
      </c>
      <c r="I10" s="2" t="n">
        <f aca="false">INPUT!G52</f>
        <v>95</v>
      </c>
    </row>
    <row r="11" customFormat="false" ht="15" hidden="false" customHeight="false" outlineLevel="0" collapsed="false">
      <c r="B11" s="2" t="s">
        <v>133</v>
      </c>
      <c r="C11" s="2" t="s">
        <v>170</v>
      </c>
      <c r="D11" s="2" t="n">
        <f aca="false">INPUT!B52</f>
        <v>74.1</v>
      </c>
      <c r="E11" s="2" t="n">
        <f aca="false">INPUT!C52</f>
        <v>63.1</v>
      </c>
      <c r="F11" s="2" t="n">
        <f aca="false">INPUT!D52</f>
        <v>56.1</v>
      </c>
      <c r="G11" s="2" t="n">
        <f aca="false">INPUT!E52</f>
        <v>69.3</v>
      </c>
      <c r="H11" s="2" t="n">
        <f aca="false">INPUT!F52</f>
        <v>77.4</v>
      </c>
      <c r="I11" s="2" t="n">
        <f aca="false">INPUT!G52</f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2026-10-05T10:48:54Z</dcterms:created>
  <dc:creator>openpyxl</dc:creator>
  <dc:description/>
  <dc:language>en-US</dc:language>
  <cp:lastModifiedBy>Pier Luca Maria Buonomo</cp:lastModifiedBy>
  <dcterms:modified xsi:type="dcterms:W3CDTF">2026-10-08T11:34:42Z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