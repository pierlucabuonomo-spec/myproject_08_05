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CDCAE4C7-5147-4D6F-A9C9-9646344A24F8}" xr6:coauthVersionLast="47" xr6:coauthVersionMax="47" xr10:uidLastSave="{00000000-0000-0000-0000-000000000000}"/>
  <bookViews>
    <workbookView xWindow="-105" yWindow="0" windowWidth="26010" windowHeight="20985" tabRatio="901" activeTab="6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</sheets>
  <externalReferences>
    <externalReference r:id="rId13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133" l="1"/>
  <c r="D27" i="129"/>
  <c r="D17" i="129"/>
  <c r="D8" i="129"/>
  <c r="D7" i="129"/>
  <c r="E14" i="133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10" i="136"/>
  <c r="D12" i="136"/>
  <c r="E33" i="144"/>
  <c r="C5" i="144"/>
  <c r="B5" i="144"/>
  <c r="D29" i="136"/>
  <c r="D30" i="136" s="1"/>
  <c r="D11" i="136"/>
  <c r="C11" i="136"/>
  <c r="B11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E15" i="133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Q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<sst xmlns="http://schemas.openxmlformats.org/spreadsheetml/2006/main" count="865" uniqueCount="352">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</sst>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38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0" fontId="0" fillId="0" borderId="0" xfId="0" applyNumberFormat="1"/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34" fillId="8" borderId="30" xfId="0" applyFont="1" applyFill="1" applyBorder="1"/>
    <xf numFmtId="0" fontId="34" fillId="8" borderId="4" xfId="0" applyFont="1" applyFill="1" applyBorder="1"/>
    <xf numFmtId="164" fontId="34" fillId="8" borderId="4" xfId="0" applyNumberFormat="1" applyFont="1" applyFill="1" applyBorder="1"/>
    <xf numFmtId="0" fontId="0" fillId="0" borderId="4" xfId="0" applyBorder="1"/>
    <xf numFmtId="0" fontId="0" fillId="0" borderId="31" xfId="0" applyBorder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34" fillId="8" borderId="0" xfId="0" applyFont="1" applyFill="1"/>
    <xf numFmtId="0" fontId="34" fillId="7" borderId="33" xfId="0" applyFont="1" applyFill="1" applyBorder="1"/>
    <xf numFmtId="0" fontId="34" fillId="7" borderId="0" xfId="0" applyFont="1" applyFill="1"/>
    <xf numFmtId="164" fontId="34" fillId="7" borderId="0" xfId="0" applyNumberFormat="1" applyFont="1" applyFill="1"/>
    <xf numFmtId="0" fontId="0" fillId="7" borderId="34" xfId="0" applyFill="1" applyBorder="1"/>
    <xf numFmtId="0" fontId="34" fillId="0" borderId="33" xfId="0" applyFont="1" applyBorder="1"/>
    <xf numFmtId="164" fontId="34" fillId="0" borderId="0" xfId="0" applyNumberFormat="1" applyFont="1"/>
    <xf numFmtId="0" fontId="0" fillId="0" borderId="34" xfId="0" applyBorder="1"/>
    <xf numFmtId="0" fontId="34" fillId="8" borderId="33" xfId="0" applyFont="1" applyFill="1" applyBorder="1"/>
    <xf numFmtId="0" fontId="0" fillId="7" borderId="33" xfId="0" applyFill="1" applyBorder="1"/>
    <xf numFmtId="0" fontId="0" fillId="0" borderId="32" xfId="0" applyBorder="1"/>
    <xf numFmtId="0" fontId="16" fillId="0" borderId="5" xfId="0" applyFont="1" applyBorder="1"/>
    <xf numFmtId="0" fontId="0" fillId="0" borderId="35" xfId="0" applyBorder="1"/>
    <xf numFmtId="0" fontId="4" fillId="7" borderId="33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3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2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166" fontId="4" fillId="3" borderId="27" xfId="1" applyNumberForma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29" t="s">
        <v>183</v>
      </c>
      <c r="C6" s="232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30"/>
      <c r="C7" s="233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31"/>
      <c r="C8" s="234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1">
        <v>0</v>
      </c>
      <c r="G9" s="131">
        <v>1790</v>
      </c>
      <c r="H9" s="131">
        <v>23500</v>
      </c>
      <c r="I9" s="125"/>
      <c r="J9" s="126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1">
        <v>0</v>
      </c>
      <c r="G10" s="131">
        <v>2450</v>
      </c>
      <c r="H10" s="131">
        <v>11000</v>
      </c>
      <c r="I10" s="125"/>
      <c r="J10" s="126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1">
        <v>0</v>
      </c>
      <c r="G11" s="125">
        <v>3500</v>
      </c>
      <c r="H11" s="131">
        <v>11000</v>
      </c>
      <c r="I11" s="125"/>
      <c r="J11" s="126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1">
        <v>0</v>
      </c>
      <c r="G12" s="131">
        <v>0</v>
      </c>
      <c r="H12" s="125"/>
      <c r="I12" s="125"/>
      <c r="J12" s="126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1">
        <v>0</v>
      </c>
      <c r="G13" s="131">
        <v>0</v>
      </c>
      <c r="H13" s="125"/>
      <c r="I13" s="125"/>
      <c r="J13" s="126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1">
        <v>0</v>
      </c>
      <c r="G14" s="131">
        <v>0</v>
      </c>
      <c r="H14" s="125"/>
      <c r="I14" s="125"/>
      <c r="J14" s="126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1">
        <v>0</v>
      </c>
      <c r="G15" s="131">
        <v>0</v>
      </c>
      <c r="H15" s="125"/>
      <c r="I15" s="125"/>
      <c r="J15" s="126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27" t="s">
        <v>213</v>
      </c>
      <c r="C27" s="225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28"/>
      <c r="C28" s="226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5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5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5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27" t="s">
        <v>12</v>
      </c>
      <c r="C41" s="225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28"/>
      <c r="C42" s="226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="52"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95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20" t="s">
        <v>36</v>
      </c>
      <c r="C7" s="120" t="s">
        <v>153</v>
      </c>
      <c r="D7" s="120" t="s">
        <v>37</v>
      </c>
      <c r="E7" s="120" t="s">
        <v>38</v>
      </c>
      <c r="F7" s="120"/>
      <c r="G7" s="120" t="s">
        <v>39</v>
      </c>
      <c r="H7" s="120" t="s">
        <v>40</v>
      </c>
      <c r="I7" s="120" t="s">
        <v>41</v>
      </c>
    </row>
    <row r="8" spans="2:9" ht="18.75" customHeight="1" x14ac:dyDescent="0.2">
      <c r="B8" s="127" t="s">
        <v>36</v>
      </c>
      <c r="C8" s="127" t="s">
        <v>275</v>
      </c>
      <c r="D8" s="127" t="s">
        <v>276</v>
      </c>
      <c r="E8" s="127" t="s">
        <v>38</v>
      </c>
      <c r="F8" s="127"/>
      <c r="G8" s="127" t="s">
        <v>39</v>
      </c>
      <c r="H8" s="127" t="s">
        <v>40</v>
      </c>
      <c r="I8" s="127" t="s">
        <v>41</v>
      </c>
    </row>
    <row r="9" spans="2:9" ht="18.75" customHeight="1" x14ac:dyDescent="0.2">
      <c r="B9" s="129" t="s">
        <v>36</v>
      </c>
      <c r="C9" s="129" t="s">
        <v>154</v>
      </c>
      <c r="D9" s="129" t="s">
        <v>42</v>
      </c>
      <c r="E9" s="129" t="s">
        <v>38</v>
      </c>
      <c r="F9" s="129"/>
      <c r="G9" s="129" t="s">
        <v>39</v>
      </c>
      <c r="H9" s="129"/>
      <c r="I9" s="129" t="s">
        <v>41</v>
      </c>
    </row>
    <row r="10" spans="2:9" ht="18.75" customHeight="1" x14ac:dyDescent="0.2">
      <c r="B10" s="127" t="s">
        <v>36</v>
      </c>
      <c r="C10" s="127" t="s">
        <v>308</v>
      </c>
      <c r="D10" s="127" t="s">
        <v>322</v>
      </c>
      <c r="E10" s="127" t="s">
        <v>38</v>
      </c>
      <c r="F10" s="127"/>
      <c r="G10" s="127" t="s">
        <v>39</v>
      </c>
      <c r="H10" s="127"/>
      <c r="I10" s="127" t="s">
        <v>41</v>
      </c>
    </row>
    <row r="11" spans="2:9" ht="18.75" customHeight="1" x14ac:dyDescent="0.2">
      <c r="B11" s="129" t="s">
        <v>36</v>
      </c>
      <c r="C11" s="129" t="s">
        <v>306</v>
      </c>
      <c r="D11" s="129" t="s">
        <v>307</v>
      </c>
      <c r="E11" s="129" t="s">
        <v>38</v>
      </c>
      <c r="F11" s="129"/>
      <c r="G11" s="129" t="s">
        <v>39</v>
      </c>
      <c r="H11" s="129"/>
      <c r="I11" s="129" t="s">
        <v>41</v>
      </c>
    </row>
    <row r="12" spans="2:9" ht="18.75" customHeight="1" x14ac:dyDescent="0.2">
      <c r="B12" s="127" t="s">
        <v>36</v>
      </c>
      <c r="C12" s="127" t="s">
        <v>290</v>
      </c>
      <c r="D12" s="127" t="s">
        <v>291</v>
      </c>
      <c r="E12" s="127" t="s">
        <v>38</v>
      </c>
      <c r="F12" s="127"/>
      <c r="G12" s="127" t="s">
        <v>39</v>
      </c>
      <c r="H12" s="127"/>
      <c r="I12" s="127" t="s">
        <v>41</v>
      </c>
    </row>
    <row r="13" spans="2:9" ht="18.75" customHeight="1" x14ac:dyDescent="0.2">
      <c r="B13" s="206" t="s">
        <v>44</v>
      </c>
      <c r="C13" s="206" t="s">
        <v>45</v>
      </c>
      <c r="D13" s="206" t="s">
        <v>46</v>
      </c>
      <c r="E13" s="206" t="s">
        <v>47</v>
      </c>
      <c r="F13" s="206"/>
      <c r="G13" s="206"/>
      <c r="H13" s="206" t="s">
        <v>40</v>
      </c>
      <c r="I13" s="206"/>
    </row>
    <row r="14" spans="2:9" ht="18.75" customHeight="1" x14ac:dyDescent="0.2">
      <c r="B14" s="127" t="s">
        <v>239</v>
      </c>
      <c r="C14" s="127"/>
      <c r="D14" s="127"/>
      <c r="E14" s="127"/>
      <c r="F14" s="127"/>
      <c r="G14" s="127"/>
      <c r="H14" s="127"/>
      <c r="I14" s="127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204" t="s">
        <v>36</v>
      </c>
      <c r="C25" s="42" t="s">
        <v>297</v>
      </c>
      <c r="D25" s="204" t="s">
        <v>312</v>
      </c>
      <c r="E25" s="205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204" t="s">
        <v>36</v>
      </c>
      <c r="C27" s="42" t="s">
        <v>302</v>
      </c>
      <c r="D27" s="204" t="s">
        <v>333</v>
      </c>
      <c r="E27" s="205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204" t="s">
        <v>36</v>
      </c>
      <c r="C29" s="42" t="s">
        <v>325</v>
      </c>
      <c r="D29" s="42" t="s">
        <v>334</v>
      </c>
      <c r="E29" s="205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204" t="s">
        <v>36</v>
      </c>
      <c r="C31" s="42" t="s">
        <v>315</v>
      </c>
      <c r="D31" s="42" t="s">
        <v>315</v>
      </c>
      <c r="E31" s="205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204" t="s">
        <v>36</v>
      </c>
      <c r="C33" s="42" t="s">
        <v>328</v>
      </c>
      <c r="D33" s="204" t="s">
        <v>336</v>
      </c>
      <c r="E33" s="205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204" t="s">
        <v>36</v>
      </c>
      <c r="C35" s="42" t="s">
        <v>178</v>
      </c>
      <c r="D35" s="204" t="s">
        <v>179</v>
      </c>
      <c r="E35" s="205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4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4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215" t="s">
        <v>36</v>
      </c>
      <c r="C43" s="216" t="s">
        <v>223</v>
      </c>
      <c r="D43" s="215" t="s">
        <v>223</v>
      </c>
      <c r="E43" s="217" t="s">
        <v>38</v>
      </c>
      <c r="F43" s="218"/>
      <c r="G43" s="218"/>
      <c r="H43" s="218"/>
      <c r="I43" s="218"/>
    </row>
    <row r="47" spans="2:9" ht="13.5" thickBot="1" x14ac:dyDescent="0.25">
      <c r="B47" s="235" t="s">
        <v>48</v>
      </c>
      <c r="C47" s="235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19" t="s">
        <v>239</v>
      </c>
      <c r="C7" s="122" t="s">
        <v>193</v>
      </c>
      <c r="D7" s="122" t="s">
        <v>281</v>
      </c>
      <c r="E7" s="122" t="s">
        <v>283</v>
      </c>
      <c r="F7" s="122" t="s">
        <v>38</v>
      </c>
      <c r="G7" s="122" t="s">
        <v>77</v>
      </c>
      <c r="H7" s="122" t="s">
        <v>40</v>
      </c>
      <c r="I7" s="122"/>
      <c r="J7" s="122"/>
    </row>
    <row r="8" spans="1:10" ht="18.75" customHeight="1" x14ac:dyDescent="0.2">
      <c r="B8" s="66" t="s">
        <v>239</v>
      </c>
      <c r="C8" s="128" t="s">
        <v>193</v>
      </c>
      <c r="D8" s="128" t="s">
        <v>280</v>
      </c>
      <c r="E8" s="128" t="s">
        <v>282</v>
      </c>
      <c r="F8" s="128" t="s">
        <v>38</v>
      </c>
      <c r="G8" s="128" t="s">
        <v>77</v>
      </c>
      <c r="H8" s="128" t="s">
        <v>40</v>
      </c>
      <c r="I8" s="128"/>
      <c r="J8" s="128"/>
    </row>
    <row r="9" spans="1:10" ht="18.75" customHeight="1" x14ac:dyDescent="0.2">
      <c r="B9" s="49" t="s">
        <v>239</v>
      </c>
      <c r="C9" s="130" t="s">
        <v>193</v>
      </c>
      <c r="D9" s="130" t="s">
        <v>284</v>
      </c>
      <c r="E9" s="129" t="s">
        <v>287</v>
      </c>
      <c r="F9" s="130" t="s">
        <v>38</v>
      </c>
      <c r="G9" s="130" t="s">
        <v>77</v>
      </c>
      <c r="H9" s="130" t="s">
        <v>40</v>
      </c>
      <c r="I9" s="130"/>
      <c r="J9" s="130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1" t="s">
        <v>75</v>
      </c>
      <c r="C11" s="123" t="s">
        <v>193</v>
      </c>
      <c r="D11" s="123" t="s">
        <v>155</v>
      </c>
      <c r="E11" s="123" t="s">
        <v>76</v>
      </c>
      <c r="F11" s="123" t="s">
        <v>38</v>
      </c>
      <c r="G11" s="123" t="s">
        <v>77</v>
      </c>
      <c r="H11" s="123" t="s">
        <v>39</v>
      </c>
      <c r="I11" s="123"/>
      <c r="J11" s="123"/>
    </row>
    <row r="12" spans="1:10" ht="18.75" customHeight="1" x14ac:dyDescent="0.2">
      <c r="B12" s="127" t="s">
        <v>75</v>
      </c>
      <c r="C12" s="128" t="s">
        <v>193</v>
      </c>
      <c r="D12" s="128" t="s">
        <v>285</v>
      </c>
      <c r="E12" s="128" t="s">
        <v>286</v>
      </c>
      <c r="F12" s="128" t="s">
        <v>38</v>
      </c>
      <c r="G12" s="128" t="s">
        <v>77</v>
      </c>
      <c r="H12" s="128" t="s">
        <v>39</v>
      </c>
      <c r="I12" s="128"/>
      <c r="J12" s="128"/>
    </row>
    <row r="13" spans="1:10" ht="18.75" customHeight="1" x14ac:dyDescent="0.2">
      <c r="B13" s="121" t="s">
        <v>75</v>
      </c>
      <c r="C13" s="123" t="s">
        <v>193</v>
      </c>
      <c r="D13" s="123" t="s">
        <v>344</v>
      </c>
      <c r="E13" s="123" t="s">
        <v>345</v>
      </c>
      <c r="F13" s="123" t="s">
        <v>38</v>
      </c>
      <c r="G13" s="123" t="s">
        <v>77</v>
      </c>
      <c r="H13" s="123" t="s">
        <v>39</v>
      </c>
      <c r="I13" s="123"/>
      <c r="J13" s="123"/>
    </row>
    <row r="14" spans="1:10" ht="18.75" customHeight="1" x14ac:dyDescent="0.2">
      <c r="B14" s="127" t="s">
        <v>75</v>
      </c>
      <c r="C14" s="128" t="s">
        <v>193</v>
      </c>
      <c r="D14" s="128" t="s">
        <v>156</v>
      </c>
      <c r="E14" s="128" t="s">
        <v>346</v>
      </c>
      <c r="F14" s="128" t="s">
        <v>38</v>
      </c>
      <c r="G14" s="128" t="s">
        <v>77</v>
      </c>
      <c r="H14" s="128" t="s">
        <v>39</v>
      </c>
      <c r="I14" s="128"/>
      <c r="J14" s="128"/>
    </row>
    <row r="15" spans="1:10" ht="18.75" customHeight="1" x14ac:dyDescent="0.2">
      <c r="B15" s="121" t="s">
        <v>75</v>
      </c>
      <c r="C15" s="123" t="s">
        <v>193</v>
      </c>
      <c r="D15" s="123" t="s">
        <v>157</v>
      </c>
      <c r="E15" s="123" t="s">
        <v>78</v>
      </c>
      <c r="F15" s="123" t="s">
        <v>38</v>
      </c>
      <c r="G15" s="123" t="s">
        <v>77</v>
      </c>
      <c r="H15" s="123" t="s">
        <v>39</v>
      </c>
      <c r="I15" s="123"/>
      <c r="J15" s="123"/>
    </row>
    <row r="16" spans="1:10" ht="18.75" customHeight="1" x14ac:dyDescent="0.2">
      <c r="B16" s="127" t="s">
        <v>75</v>
      </c>
      <c r="C16" s="128" t="s">
        <v>193</v>
      </c>
      <c r="D16" s="128" t="s">
        <v>194</v>
      </c>
      <c r="E16" s="128" t="s">
        <v>195</v>
      </c>
      <c r="F16" s="128" t="s">
        <v>38</v>
      </c>
      <c r="G16" s="128" t="s">
        <v>77</v>
      </c>
      <c r="H16" s="128" t="s">
        <v>39</v>
      </c>
      <c r="I16" s="128"/>
      <c r="J16" s="128"/>
    </row>
    <row r="17" spans="1:10" ht="18.75" customHeight="1" x14ac:dyDescent="0.2">
      <c r="B17" s="121" t="s">
        <v>75</v>
      </c>
      <c r="C17" s="123" t="s">
        <v>193</v>
      </c>
      <c r="D17" s="123" t="s">
        <v>196</v>
      </c>
      <c r="E17" s="123" t="s">
        <v>197</v>
      </c>
      <c r="F17" s="123" t="s">
        <v>38</v>
      </c>
      <c r="G17" s="123" t="s">
        <v>77</v>
      </c>
      <c r="H17" s="123" t="s">
        <v>39</v>
      </c>
      <c r="I17" s="123"/>
      <c r="J17" s="123"/>
    </row>
    <row r="18" spans="1:10" ht="18.75" customHeight="1" x14ac:dyDescent="0.2">
      <c r="B18" s="127" t="s">
        <v>75</v>
      </c>
      <c r="C18" s="128" t="s">
        <v>193</v>
      </c>
      <c r="D18" s="128" t="s">
        <v>198</v>
      </c>
      <c r="E18" s="128" t="s">
        <v>199</v>
      </c>
      <c r="F18" s="128" t="s">
        <v>38</v>
      </c>
      <c r="G18" s="128" t="s">
        <v>77</v>
      </c>
      <c r="H18" s="128" t="s">
        <v>39</v>
      </c>
      <c r="I18" s="128"/>
      <c r="J18" s="128"/>
    </row>
    <row r="19" spans="1:10" ht="18.75" customHeight="1" x14ac:dyDescent="0.2">
      <c r="B19" s="129" t="s">
        <v>75</v>
      </c>
      <c r="C19" s="130" t="s">
        <v>193</v>
      </c>
      <c r="D19" s="130" t="s">
        <v>200</v>
      </c>
      <c r="E19" s="130" t="s">
        <v>201</v>
      </c>
      <c r="F19" s="130" t="s">
        <v>38</v>
      </c>
      <c r="G19" s="130" t="s">
        <v>77</v>
      </c>
      <c r="H19" s="130" t="s">
        <v>39</v>
      </c>
      <c r="I19" s="130"/>
      <c r="J19" s="130"/>
    </row>
    <row r="20" spans="1:10" ht="18.75" customHeight="1" x14ac:dyDescent="0.2">
      <c r="B20" s="127" t="s">
        <v>246</v>
      </c>
      <c r="C20" s="128" t="s">
        <v>193</v>
      </c>
      <c r="D20" s="128" t="s">
        <v>260</v>
      </c>
      <c r="E20" s="128" t="s">
        <v>247</v>
      </c>
      <c r="F20" s="128" t="s">
        <v>38</v>
      </c>
      <c r="G20" s="128" t="s">
        <v>77</v>
      </c>
      <c r="H20" s="128" t="s">
        <v>39</v>
      </c>
      <c r="I20" s="128"/>
      <c r="J20" s="128"/>
    </row>
    <row r="21" spans="1:10" ht="18.75" customHeight="1" x14ac:dyDescent="0.2">
      <c r="B21" s="129" t="s">
        <v>75</v>
      </c>
      <c r="C21" s="130" t="s">
        <v>193</v>
      </c>
      <c r="D21" s="130" t="s">
        <v>221</v>
      </c>
      <c r="E21" s="130" t="s">
        <v>222</v>
      </c>
      <c r="F21" s="130" t="s">
        <v>38</v>
      </c>
      <c r="G21" s="130" t="s">
        <v>77</v>
      </c>
      <c r="H21" s="130" t="s">
        <v>39</v>
      </c>
      <c r="I21" s="130"/>
      <c r="J21" s="130"/>
    </row>
    <row r="22" spans="1:10" ht="18.75" customHeight="1" x14ac:dyDescent="0.2">
      <c r="B22" s="127" t="s">
        <v>90</v>
      </c>
      <c r="C22" s="128" t="s">
        <v>193</v>
      </c>
      <c r="D22" s="128" t="s">
        <v>256</v>
      </c>
      <c r="E22" s="128" t="s">
        <v>257</v>
      </c>
      <c r="F22" s="128" t="s">
        <v>38</v>
      </c>
      <c r="G22" s="128" t="s">
        <v>77</v>
      </c>
      <c r="H22" s="128" t="s">
        <v>40</v>
      </c>
      <c r="I22" s="128"/>
      <c r="J22" s="128"/>
    </row>
    <row r="23" spans="1:10" ht="18.75" customHeight="1" x14ac:dyDescent="0.2">
      <c r="B23" s="129" t="s">
        <v>93</v>
      </c>
      <c r="C23" s="130" t="s">
        <v>193</v>
      </c>
      <c r="D23" s="130" t="s">
        <v>261</v>
      </c>
      <c r="E23" s="130" t="s">
        <v>262</v>
      </c>
      <c r="F23" s="130" t="s">
        <v>38</v>
      </c>
      <c r="G23" s="130" t="s">
        <v>77</v>
      </c>
      <c r="H23" s="130" t="s">
        <v>40</v>
      </c>
      <c r="I23" s="130"/>
      <c r="J23" s="130"/>
    </row>
    <row r="24" spans="1:10" ht="18.75" customHeight="1" x14ac:dyDescent="0.2">
      <c r="A24" s="62"/>
      <c r="B24" s="127" t="s">
        <v>81</v>
      </c>
      <c r="C24" s="128" t="s">
        <v>193</v>
      </c>
      <c r="D24" s="128" t="s">
        <v>271</v>
      </c>
      <c r="E24" s="128" t="s">
        <v>272</v>
      </c>
      <c r="F24" s="128" t="s">
        <v>38</v>
      </c>
      <c r="G24" s="128" t="s">
        <v>77</v>
      </c>
      <c r="H24" s="128" t="s">
        <v>39</v>
      </c>
      <c r="I24" s="128"/>
      <c r="J24" s="128"/>
    </row>
    <row r="25" spans="1:10" ht="18.75" customHeight="1" x14ac:dyDescent="0.2">
      <c r="A25" s="62"/>
      <c r="B25" s="129" t="s">
        <v>81</v>
      </c>
      <c r="C25" s="130" t="s">
        <v>193</v>
      </c>
      <c r="D25" s="130" t="s">
        <v>273</v>
      </c>
      <c r="E25" s="130" t="s">
        <v>274</v>
      </c>
      <c r="F25" s="130" t="s">
        <v>38</v>
      </c>
      <c r="G25" s="130" t="s">
        <v>77</v>
      </c>
      <c r="H25" s="130" t="s">
        <v>39</v>
      </c>
      <c r="I25" s="130"/>
      <c r="J25" s="130"/>
    </row>
    <row r="26" spans="1:10" ht="18.75" customHeight="1" x14ac:dyDescent="0.2">
      <c r="A26" s="61"/>
      <c r="B26" s="129" t="s">
        <v>81</v>
      </c>
      <c r="C26" s="130" t="s">
        <v>193</v>
      </c>
      <c r="D26" s="130" t="s">
        <v>289</v>
      </c>
      <c r="E26" s="130" t="s">
        <v>288</v>
      </c>
      <c r="F26" s="130" t="s">
        <v>38</v>
      </c>
      <c r="G26" s="130" t="s">
        <v>77</v>
      </c>
      <c r="H26" s="130" t="s">
        <v>39</v>
      </c>
      <c r="I26" s="130"/>
      <c r="J26" s="130"/>
    </row>
    <row r="27" spans="1:10" ht="18.75" customHeight="1" x14ac:dyDescent="0.2">
      <c r="A27" s="62"/>
      <c r="B27" s="127" t="s">
        <v>81</v>
      </c>
      <c r="C27" s="128" t="s">
        <v>193</v>
      </c>
      <c r="D27" s="128" t="s">
        <v>292</v>
      </c>
      <c r="E27" s="128" t="s">
        <v>293</v>
      </c>
      <c r="F27" s="128" t="s">
        <v>38</v>
      </c>
      <c r="G27" s="128" t="s">
        <v>266</v>
      </c>
      <c r="H27" s="128" t="s">
        <v>40</v>
      </c>
      <c r="I27" s="128"/>
      <c r="J27" s="128"/>
    </row>
    <row r="28" spans="1:10" ht="18.75" customHeight="1" x14ac:dyDescent="0.2">
      <c r="A28" s="62"/>
      <c r="B28" s="129"/>
      <c r="C28" s="130"/>
      <c r="D28" s="130"/>
      <c r="E28" s="130"/>
      <c r="F28" s="130"/>
      <c r="G28" s="130"/>
      <c r="H28" s="130"/>
      <c r="I28" s="130"/>
      <c r="J28" s="130"/>
    </row>
    <row r="29" spans="1:10" ht="18.95" customHeight="1" x14ac:dyDescent="0.2">
      <c r="I29" s="130"/>
      <c r="J29" s="130"/>
    </row>
    <row r="31" spans="1:10" x14ac:dyDescent="0.2">
      <c r="B31" s="236" t="s">
        <v>82</v>
      </c>
      <c r="C31" s="236"/>
      <c r="D31" s="236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37" t="s">
        <v>300</v>
      </c>
      <c r="J4" s="237"/>
      <c r="K4" s="237"/>
      <c r="L4" s="237"/>
      <c r="M4" s="237"/>
      <c r="N4" s="237"/>
      <c r="O4" s="237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9">
        <v>7.3</v>
      </c>
      <c r="R5" s="27">
        <v>13.59</v>
      </c>
    </row>
    <row r="6" spans="2:18" ht="13.5" thickBot="1" x14ac:dyDescent="0.25">
      <c r="B6" s="171"/>
      <c r="C6" s="61"/>
      <c r="D6" s="175"/>
      <c r="E6" s="202" t="s">
        <v>302</v>
      </c>
      <c r="F6" s="173">
        <f t="shared" ref="F6:F14" si="1">V36</f>
        <v>1.86</v>
      </c>
      <c r="G6" s="173">
        <v>0.04</v>
      </c>
      <c r="H6" s="176"/>
      <c r="I6" s="173"/>
      <c r="J6" s="173"/>
      <c r="K6" s="173"/>
      <c r="L6" s="173"/>
      <c r="M6" s="173"/>
      <c r="N6" s="173"/>
      <c r="O6" s="173"/>
      <c r="P6" s="177"/>
      <c r="Q6" s="178"/>
      <c r="R6" s="178"/>
    </row>
    <row r="7" spans="2:18" x14ac:dyDescent="0.2">
      <c r="B7" s="172"/>
      <c r="C7" s="24"/>
      <c r="D7" s="24"/>
      <c r="E7" s="203" t="s">
        <v>298</v>
      </c>
      <c r="F7" s="174">
        <f t="shared" si="1"/>
        <v>10.005000000000001</v>
      </c>
      <c r="G7" s="174">
        <v>0.23</v>
      </c>
    </row>
    <row r="8" spans="2:18" x14ac:dyDescent="0.2">
      <c r="B8" s="199"/>
      <c r="C8" s="61"/>
      <c r="D8" s="61"/>
      <c r="E8" s="202" t="s">
        <v>325</v>
      </c>
      <c r="F8" s="173">
        <f t="shared" si="1"/>
        <v>4.3</v>
      </c>
      <c r="G8" s="173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72"/>
      <c r="C9" s="24"/>
      <c r="D9" s="24"/>
      <c r="E9" s="203" t="s">
        <v>297</v>
      </c>
      <c r="F9" s="174">
        <f t="shared" si="1"/>
        <v>15.479999999999999</v>
      </c>
      <c r="G9" s="174">
        <v>0.36</v>
      </c>
    </row>
    <row r="10" spans="2:18" x14ac:dyDescent="0.2">
      <c r="B10" s="62"/>
      <c r="C10" s="62"/>
      <c r="D10" s="62"/>
      <c r="E10" s="202" t="s">
        <v>303</v>
      </c>
      <c r="F10" s="173">
        <f t="shared" si="1"/>
        <v>2.4299999999999997</v>
      </c>
      <c r="G10" s="173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203" t="s">
        <v>314</v>
      </c>
      <c r="F11" s="174">
        <f t="shared" si="1"/>
        <v>1.4525000000000001</v>
      </c>
      <c r="G11" s="174">
        <v>3.5000000000000003E-2</v>
      </c>
    </row>
    <row r="12" spans="2:18" x14ac:dyDescent="0.2">
      <c r="B12" s="62"/>
      <c r="C12" s="62"/>
      <c r="D12" s="62"/>
      <c r="E12" s="202" t="s">
        <v>315</v>
      </c>
      <c r="F12" s="173">
        <f t="shared" si="1"/>
        <v>1.9750000000000001</v>
      </c>
      <c r="G12" s="173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203" t="s">
        <v>326</v>
      </c>
      <c r="F13" s="174">
        <f t="shared" si="1"/>
        <v>1.8800000000000001</v>
      </c>
      <c r="G13" s="174">
        <v>0.04</v>
      </c>
    </row>
    <row r="14" spans="2:18" x14ac:dyDescent="0.2">
      <c r="B14" s="62"/>
      <c r="C14" s="62"/>
      <c r="D14" s="62"/>
      <c r="E14" s="223" t="s">
        <v>204</v>
      </c>
      <c r="F14" s="173">
        <f t="shared" si="1"/>
        <v>2.4862500000000001</v>
      </c>
      <c r="G14" s="173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70"/>
      <c r="C15" s="170"/>
      <c r="D15" s="170"/>
      <c r="E15" s="200" t="str">
        <f>SEC_Comm!C13</f>
        <v>CO2</v>
      </c>
      <c r="F15" s="201"/>
      <c r="G15" s="201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74"/>
      <c r="M34" s="174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7" t="s">
        <v>116</v>
      </c>
      <c r="I6" s="237"/>
      <c r="J6" s="237"/>
      <c r="K6" s="237"/>
      <c r="L6" s="237"/>
      <c r="M6" s="237"/>
      <c r="N6" s="237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3">
        <v>61</v>
      </c>
      <c r="S8" s="143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4"/>
      <c r="C26" s="134"/>
      <c r="D26" s="134"/>
      <c r="E26" s="134" t="str">
        <f>SEC_Comm!C13</f>
        <v>CO2</v>
      </c>
      <c r="F26" s="134"/>
      <c r="G26" s="134"/>
      <c r="H26" s="134"/>
      <c r="I26" s="134"/>
      <c r="J26" s="140"/>
      <c r="K26" s="134"/>
      <c r="L26" s="134"/>
      <c r="M26" s="134"/>
      <c r="N26" s="134"/>
      <c r="O26" s="134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4">
        <v>1</v>
      </c>
      <c r="L27" s="7"/>
      <c r="M27" s="7">
        <v>0.87</v>
      </c>
      <c r="N27" s="144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96"/>
      <c r="C36" s="196"/>
      <c r="D36" s="196"/>
      <c r="E36" s="196" t="str">
        <f>SEC_Comm!C13</f>
        <v>CO2</v>
      </c>
      <c r="F36" s="196"/>
      <c r="G36" s="196"/>
      <c r="H36" s="196"/>
      <c r="I36" s="196"/>
      <c r="J36" s="197"/>
      <c r="K36" s="196"/>
      <c r="L36" s="196"/>
      <c r="M36" s="196"/>
      <c r="N36" s="196"/>
      <c r="O36" s="196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tabSelected="1" zoomScale="76" zoomScaleNormal="85" workbookViewId="0">
      <selection activeCell="L24" sqref="L24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1.4257812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7" t="s">
        <v>116</v>
      </c>
      <c r="I6" s="237"/>
      <c r="J6" s="237"/>
      <c r="K6" s="237"/>
      <c r="L6" s="237"/>
      <c r="M6" s="237"/>
      <c r="N6" s="237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7" t="str">
        <f>SEC_Processes!D17</f>
        <v>ELE_EX_BIOMASS</v>
      </c>
      <c r="C7" s="136" t="s">
        <v>209</v>
      </c>
      <c r="D7" s="116" t="s">
        <v>176</v>
      </c>
      <c r="E7" s="137" t="str">
        <f>SEC_Comm!C7</f>
        <v>ELEC_HV</v>
      </c>
      <c r="F7" s="138">
        <v>1</v>
      </c>
      <c r="G7" s="138">
        <v>31.536000000000001</v>
      </c>
      <c r="H7" s="140">
        <v>0.1</v>
      </c>
      <c r="I7" s="140">
        <v>0.1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39">
        <v>0.05</v>
      </c>
      <c r="P7" s="133">
        <v>1</v>
      </c>
      <c r="Q7" s="139">
        <v>100</v>
      </c>
      <c r="R7" s="133">
        <v>1E-3</v>
      </c>
    </row>
    <row r="8" spans="2:19" ht="20.45" customHeight="1" x14ac:dyDescent="0.2">
      <c r="B8" s="45" t="str">
        <f>SEC_Processes!D18</f>
        <v>ELE_EX_HIDRO</v>
      </c>
      <c r="C8" s="135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4" t="str">
        <f>SEC_Processes!D19</f>
        <v>ELE_EX_HIDRO_RUN</v>
      </c>
      <c r="C9" s="136" t="s">
        <v>206</v>
      </c>
      <c r="D9" s="116" t="s">
        <v>192</v>
      </c>
      <c r="E9" s="61" t="str">
        <f>SEC_Comm!C7</f>
        <v>ELEC_HV</v>
      </c>
      <c r="F9" s="132">
        <v>1</v>
      </c>
      <c r="G9" s="61">
        <v>31.536000000000001</v>
      </c>
      <c r="H9" s="140">
        <v>7.0000000000000007E-2</v>
      </c>
      <c r="I9" s="140">
        <v>7.0000000000000007E-2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33">
        <v>0.05</v>
      </c>
      <c r="P9" s="133">
        <v>1</v>
      </c>
      <c r="Q9" s="139">
        <v>74</v>
      </c>
      <c r="R9" s="133">
        <v>1E-3</v>
      </c>
    </row>
    <row r="10" spans="2:19" ht="20.45" customHeight="1" x14ac:dyDescent="0.2">
      <c r="B10" s="146" t="str">
        <f>SEC_Processes!D20</f>
        <v>ELE_EX_HIDRO_STORAGE_PUMP</v>
      </c>
      <c r="C10" s="135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7">
        <v>0.2</v>
      </c>
      <c r="I10" s="147">
        <v>0.2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8">
        <v>0.05</v>
      </c>
      <c r="P10" s="148">
        <v>1</v>
      </c>
      <c r="Q10" s="149">
        <v>8</v>
      </c>
      <c r="R10" s="148">
        <v>0</v>
      </c>
    </row>
    <row r="11" spans="2:19" ht="20.45" customHeight="1" x14ac:dyDescent="0.2">
      <c r="B11" s="134" t="str">
        <f>SEC_Processes!D21</f>
        <v>ELE_EX_OTHER</v>
      </c>
      <c r="C11" s="128" t="s">
        <v>222</v>
      </c>
      <c r="D11" s="116" t="s">
        <v>223</v>
      </c>
      <c r="E11" s="61" t="str">
        <f>SEC_Comm!C7</f>
        <v>ELEC_HV</v>
      </c>
      <c r="F11" s="132">
        <v>1</v>
      </c>
      <c r="G11" s="61">
        <v>31.536000000000001</v>
      </c>
      <c r="H11" s="140">
        <v>0.1</v>
      </c>
      <c r="I11" s="140">
        <v>0.1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33">
        <v>0.05</v>
      </c>
      <c r="P11" s="133">
        <v>1</v>
      </c>
      <c r="Q11" s="139">
        <v>50</v>
      </c>
      <c r="R11" s="133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1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75" t="str">
        <f>SEC_Processes!E12</f>
        <v>Existing autoproducer PV Elecrticity</v>
      </c>
      <c r="D13" s="116" t="s">
        <v>124</v>
      </c>
      <c r="E13" s="46" t="str">
        <f>SEC_Comm!C7</f>
        <v>ELEC_HV</v>
      </c>
      <c r="F13" s="132">
        <v>1</v>
      </c>
      <c r="G13" s="61">
        <v>31.536000000000001</v>
      </c>
      <c r="H13" s="220">
        <v>7.1999999999999995E-2</v>
      </c>
      <c r="I13" s="132">
        <v>0.08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221">
        <v>0.05</v>
      </c>
      <c r="P13" s="221">
        <v>1</v>
      </c>
      <c r="Q13" s="221">
        <v>20</v>
      </c>
      <c r="R13" s="221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tr">
        <f>SEC_Comm!C9</f>
        <v>ELEC_LV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22" t="s">
        <v>124</v>
      </c>
      <c r="E15" s="64" t="str">
        <f>SEC_Comm!C8</f>
        <v>ELEC_MV</v>
      </c>
      <c r="F15" s="84">
        <v>1</v>
      </c>
      <c r="G15" s="64">
        <v>31.536000000000001</v>
      </c>
      <c r="H15" s="142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204" t="s">
        <v>36</v>
      </c>
      <c r="C28" s="42" t="s">
        <v>297</v>
      </c>
      <c r="D28" s="204" t="s">
        <v>312</v>
      </c>
      <c r="E28" s="205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204" t="s">
        <v>36</v>
      </c>
      <c r="C30" s="42" t="s">
        <v>302</v>
      </c>
      <c r="D30" s="204" t="s">
        <v>333</v>
      </c>
      <c r="E30" s="205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204" t="s">
        <v>36</v>
      </c>
      <c r="C32" s="42" t="s">
        <v>325</v>
      </c>
      <c r="D32" s="42" t="s">
        <v>334</v>
      </c>
      <c r="E32" s="205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204" t="s">
        <v>36</v>
      </c>
      <c r="C34" s="42" t="s">
        <v>315</v>
      </c>
      <c r="D34" s="42" t="s">
        <v>315</v>
      </c>
      <c r="E34" s="205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204" t="s">
        <v>36</v>
      </c>
      <c r="C36" s="42" t="s">
        <v>328</v>
      </c>
      <c r="D36" s="204" t="s">
        <v>336</v>
      </c>
      <c r="E36" s="205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204" t="s">
        <v>36</v>
      </c>
      <c r="C38" s="42" t="s">
        <v>178</v>
      </c>
      <c r="D38" s="204" t="s">
        <v>179</v>
      </c>
      <c r="E38" s="205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4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4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215" t="s">
        <v>36</v>
      </c>
      <c r="C46" s="216" t="s">
        <v>223</v>
      </c>
      <c r="D46" s="215" t="s">
        <v>223</v>
      </c>
      <c r="E46" s="217" t="s">
        <v>38</v>
      </c>
      <c r="F46" s="218"/>
      <c r="G46" s="218"/>
      <c r="H46" s="218"/>
      <c r="I46" s="218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Q30"/>
  <sheetViews>
    <sheetView topLeftCell="E1" zoomScale="90" zoomScaleNormal="110" workbookViewId="0">
      <selection activeCell="O15" sqref="O15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7" max="17" width="53.28515625" customWidth="1"/>
  </cols>
  <sheetData>
    <row r="2" spans="2:17" ht="18" x14ac:dyDescent="0.25">
      <c r="B2" s="102" t="s">
        <v>125</v>
      </c>
      <c r="C2" s="41"/>
      <c r="E2" s="26"/>
      <c r="F2" s="26"/>
      <c r="G2" s="26"/>
      <c r="H2" s="26"/>
    </row>
    <row r="3" spans="2:17" x14ac:dyDescent="0.2">
      <c r="B3" s="31"/>
      <c r="C3" s="25"/>
      <c r="E3" s="26"/>
      <c r="F3" s="26"/>
      <c r="G3" s="26"/>
      <c r="H3" s="26"/>
    </row>
    <row r="4" spans="2:17" ht="15.75" customHeight="1" x14ac:dyDescent="0.2">
      <c r="E4" s="36" t="s">
        <v>100</v>
      </c>
      <c r="F4" s="36"/>
      <c r="G4" s="36"/>
      <c r="H4" s="36"/>
      <c r="I4" s="34"/>
      <c r="J4" s="34"/>
    </row>
    <row r="5" spans="2:17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Q5" s="119" t="s">
        <v>205</v>
      </c>
    </row>
    <row r="6" spans="2:17" ht="31.7" customHeight="1" x14ac:dyDescent="0.2">
      <c r="B6" s="119" t="s">
        <v>111</v>
      </c>
      <c r="C6" s="119" t="s">
        <v>70</v>
      </c>
      <c r="D6" s="119" t="s">
        <v>112</v>
      </c>
      <c r="E6" s="119" t="s">
        <v>113</v>
      </c>
      <c r="F6" s="119" t="s">
        <v>114</v>
      </c>
      <c r="G6" s="119" t="s">
        <v>270</v>
      </c>
      <c r="H6" s="119" t="s">
        <v>77</v>
      </c>
      <c r="I6" s="119"/>
      <c r="J6" s="119"/>
      <c r="K6" s="119" t="s">
        <v>277</v>
      </c>
      <c r="L6" s="119" t="s">
        <v>277</v>
      </c>
      <c r="M6" s="119" t="s">
        <v>277</v>
      </c>
      <c r="N6" s="119" t="s">
        <v>277</v>
      </c>
      <c r="O6" s="119" t="s">
        <v>277</v>
      </c>
    </row>
    <row r="7" spans="2:17" ht="18.95" customHeight="1" x14ac:dyDescent="0.2">
      <c r="B7" s="165" t="str">
        <f>SEC_Processes!D24</f>
        <v>TRANSF_HV-MV</v>
      </c>
      <c r="C7" s="166" t="str">
        <f>SEC_Processes!E24</f>
        <v>Electricity Transformation and Distribution High Voltage to Medium Voltage</v>
      </c>
      <c r="D7" s="166" t="str">
        <f>SEC_Comm!C7</f>
        <v>ELEC_HV</v>
      </c>
      <c r="E7" s="166" t="str">
        <f>SEC_Comm!C10</f>
        <v>ELEC_MV_GRID</v>
      </c>
      <c r="F7" s="167">
        <v>0.94</v>
      </c>
      <c r="G7" s="168">
        <v>5.5</v>
      </c>
      <c r="H7" s="168">
        <v>1</v>
      </c>
      <c r="I7" s="168">
        <v>31.536000000000001</v>
      </c>
      <c r="J7" s="168">
        <v>0</v>
      </c>
      <c r="K7" s="169">
        <v>50</v>
      </c>
      <c r="L7">
        <v>50</v>
      </c>
      <c r="M7">
        <v>50</v>
      </c>
      <c r="N7">
        <v>30</v>
      </c>
      <c r="Q7" s="1">
        <f>1-F7</f>
        <v>6.0000000000000053E-2</v>
      </c>
    </row>
    <row r="8" spans="2:17" ht="18.95" customHeight="1" x14ac:dyDescent="0.2">
      <c r="B8" s="181" t="str">
        <f>SEC_Processes!D25</f>
        <v>TRANSF_MV-LV</v>
      </c>
      <c r="C8" s="182" t="str">
        <f>SEC_Processes!E25</f>
        <v>Electricity Transformation and Distribution Medium Voltage to Low Voltage</v>
      </c>
      <c r="D8" s="182" t="str">
        <f>SEC_Comm!C10</f>
        <v>ELEC_MV_GRID</v>
      </c>
      <c r="E8" s="62"/>
      <c r="F8" s="183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184">
        <v>80</v>
      </c>
      <c r="L8" s="62">
        <v>70</v>
      </c>
      <c r="M8" s="62">
        <v>70</v>
      </c>
      <c r="N8" s="62"/>
      <c r="O8" s="62"/>
      <c r="P8" s="118"/>
    </row>
    <row r="9" spans="2:17" ht="18.95" customHeight="1" x14ac:dyDescent="0.2">
      <c r="B9" s="185"/>
      <c r="C9" s="164"/>
      <c r="D9" s="164" t="s">
        <v>275</v>
      </c>
      <c r="F9" s="186"/>
      <c r="K9" s="187"/>
      <c r="P9" s="118"/>
    </row>
    <row r="10" spans="2:17" ht="18.95" customHeight="1" x14ac:dyDescent="0.2">
      <c r="B10" s="181"/>
      <c r="C10" s="182"/>
      <c r="D10" s="182"/>
      <c r="E10" s="182" t="str">
        <f>SEC_Comm!C11</f>
        <v>ELEC_LV_GRID</v>
      </c>
      <c r="F10" s="183"/>
      <c r="G10" s="62"/>
      <c r="H10" s="62"/>
      <c r="I10" s="62"/>
      <c r="J10" s="62"/>
      <c r="K10" s="184"/>
      <c r="L10" s="62"/>
      <c r="M10" s="62"/>
      <c r="N10" s="62"/>
      <c r="O10" s="62"/>
      <c r="P10" s="118"/>
    </row>
    <row r="11" spans="2:17" ht="18.95" customHeight="1" x14ac:dyDescent="0.2">
      <c r="B11" s="188" t="str">
        <f>SEC_Processes!D26</f>
        <v>DISTRIBU_LV</v>
      </c>
      <c r="C11" s="180" t="str">
        <f>SEC_Processes!E26</f>
        <v>Electricity distribution to Low Voltage</v>
      </c>
      <c r="D11" t="str">
        <f>SEC_Comm!C9</f>
        <v>ELEC_LV</v>
      </c>
      <c r="F11">
        <v>0.89</v>
      </c>
      <c r="G11">
        <v>5.5</v>
      </c>
      <c r="H11">
        <v>1</v>
      </c>
      <c r="I11">
        <v>31.536000000000001</v>
      </c>
      <c r="J11">
        <v>0</v>
      </c>
      <c r="K11" s="187">
        <v>150</v>
      </c>
      <c r="L11">
        <v>150</v>
      </c>
      <c r="M11">
        <v>150</v>
      </c>
      <c r="N11">
        <v>50</v>
      </c>
      <c r="O11">
        <v>50</v>
      </c>
    </row>
    <row r="12" spans="2:17" ht="18.95" customHeight="1" x14ac:dyDescent="0.2">
      <c r="B12" s="189"/>
      <c r="C12" s="62"/>
      <c r="D12" s="62" t="str">
        <f>SEC_Comm!C11</f>
        <v>ELEC_LV_GRID</v>
      </c>
      <c r="E12" s="62"/>
      <c r="F12" s="62"/>
      <c r="G12" s="62"/>
      <c r="H12" s="62"/>
      <c r="I12" s="62"/>
      <c r="J12" s="62"/>
      <c r="K12" s="184"/>
      <c r="L12" s="62"/>
      <c r="M12" s="62"/>
      <c r="N12" s="62"/>
      <c r="O12" s="62"/>
      <c r="P12" s="105"/>
    </row>
    <row r="13" spans="2:17" ht="18.95" customHeight="1" x14ac:dyDescent="0.2">
      <c r="B13" s="190"/>
      <c r="C13" s="170"/>
      <c r="D13" s="170"/>
      <c r="E13" s="170" t="s">
        <v>290</v>
      </c>
      <c r="F13" s="191"/>
      <c r="G13" s="191"/>
      <c r="H13" s="191"/>
      <c r="I13" s="191"/>
      <c r="J13" s="191"/>
      <c r="K13" s="192"/>
      <c r="P13" s="105"/>
    </row>
    <row r="14" spans="2:17" x14ac:dyDescent="0.2">
      <c r="E14" s="23"/>
      <c r="F14" s="23"/>
      <c r="G14" s="23"/>
      <c r="H14" s="23"/>
    </row>
    <row r="18" spans="4:8" x14ac:dyDescent="0.2">
      <c r="F18" s="163"/>
      <c r="G18" s="163"/>
      <c r="H18" s="163"/>
    </row>
    <row r="19" spans="4:8" x14ac:dyDescent="0.2">
      <c r="F19" s="163"/>
      <c r="G19" s="163"/>
      <c r="H19" s="163"/>
    </row>
    <row r="20" spans="4:8" x14ac:dyDescent="0.2">
      <c r="F20" s="164"/>
      <c r="G20" s="164"/>
      <c r="H20" s="164"/>
    </row>
    <row r="28" spans="4:8" x14ac:dyDescent="0.2">
      <c r="D28">
        <v>100</v>
      </c>
    </row>
    <row r="29" spans="4:8" x14ac:dyDescent="0.2">
      <c r="D29">
        <f>D28/F7</f>
        <v>106.38297872340426</v>
      </c>
    </row>
    <row r="30" spans="4:8" x14ac:dyDescent="0.2">
      <c r="D30">
        <f>D29+G7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50" t="s">
        <v>224</v>
      </c>
      <c r="C2" s="151"/>
      <c r="D2" s="151"/>
      <c r="E2" s="151"/>
      <c r="F2" s="151"/>
      <c r="G2" s="151"/>
      <c r="H2" s="151"/>
      <c r="I2" s="151"/>
      <c r="J2" s="151"/>
      <c r="K2" s="151"/>
    </row>
    <row r="4" spans="2:21" x14ac:dyDescent="0.2">
      <c r="E4" s="152" t="s">
        <v>100</v>
      </c>
      <c r="F4" s="152"/>
      <c r="G4" s="152"/>
      <c r="H4" s="152"/>
      <c r="I4" s="152"/>
      <c r="J4" s="152"/>
      <c r="K4" s="152"/>
    </row>
    <row r="5" spans="2:21" ht="25.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233</v>
      </c>
      <c r="L5" s="153" t="s">
        <v>234</v>
      </c>
      <c r="M5" s="153" t="s">
        <v>235</v>
      </c>
      <c r="N5" s="153" t="s">
        <v>249</v>
      </c>
      <c r="O5" s="160" t="s">
        <v>259</v>
      </c>
      <c r="P5" s="160" t="s">
        <v>250</v>
      </c>
      <c r="Q5" s="160" t="s">
        <v>251</v>
      </c>
      <c r="R5" s="160" t="s">
        <v>252</v>
      </c>
      <c r="S5" s="160" t="s">
        <v>253</v>
      </c>
      <c r="T5" s="160" t="s">
        <v>254</v>
      </c>
      <c r="U5" s="160" t="s">
        <v>255</v>
      </c>
    </row>
    <row r="6" spans="2:21" ht="13.5" thickBot="1" x14ac:dyDescent="0.25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6" t="s">
        <v>241</v>
      </c>
      <c r="M6" s="156" t="s">
        <v>240</v>
      </c>
      <c r="N6" s="156" t="s">
        <v>258</v>
      </c>
      <c r="O6" s="156"/>
      <c r="P6" s="156"/>
      <c r="Q6" s="156"/>
      <c r="R6" s="156"/>
      <c r="S6" s="156"/>
      <c r="T6" s="156"/>
      <c r="U6" s="156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2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topLeftCell="G1" workbookViewId="0">
      <selection activeCell="V12" sqref="V12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2" t="s">
        <v>100</v>
      </c>
      <c r="F4" s="152"/>
      <c r="G4" s="152"/>
      <c r="H4" s="152"/>
      <c r="I4" s="152"/>
      <c r="J4" s="152"/>
      <c r="K4" s="152"/>
      <c r="L4" s="152"/>
    </row>
    <row r="5" spans="2:22" ht="25.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231</v>
      </c>
      <c r="L5" s="155" t="s">
        <v>233</v>
      </c>
      <c r="M5" s="153" t="s">
        <v>234</v>
      </c>
      <c r="N5" s="153" t="s">
        <v>235</v>
      </c>
      <c r="O5" s="153" t="s">
        <v>249</v>
      </c>
      <c r="P5" s="160" t="s">
        <v>259</v>
      </c>
      <c r="Q5" s="160" t="s">
        <v>250</v>
      </c>
      <c r="R5" s="160" t="s">
        <v>251</v>
      </c>
      <c r="S5" s="160" t="s">
        <v>252</v>
      </c>
      <c r="T5" s="160" t="s">
        <v>253</v>
      </c>
      <c r="U5" s="160" t="s">
        <v>254</v>
      </c>
      <c r="V5" s="160" t="s">
        <v>255</v>
      </c>
    </row>
    <row r="6" spans="2:22" ht="13.5" thickBot="1" x14ac:dyDescent="0.25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7"/>
      <c r="M6" s="156" t="s">
        <v>241</v>
      </c>
      <c r="N6" s="156" t="s">
        <v>240</v>
      </c>
      <c r="O6" s="156" t="s">
        <v>258</v>
      </c>
      <c r="P6" s="156"/>
      <c r="Q6" s="156"/>
      <c r="R6" s="156" t="s">
        <v>351</v>
      </c>
      <c r="S6" s="156" t="s">
        <v>351</v>
      </c>
      <c r="T6" s="156" t="s">
        <v>351</v>
      </c>
      <c r="U6" s="156" t="s">
        <v>351</v>
      </c>
      <c r="V6" s="156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2">
        <v>30</v>
      </c>
      <c r="P7" s="12"/>
      <c r="Q7" s="12"/>
      <c r="R7" s="12"/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50" t="s">
        <v>224</v>
      </c>
      <c r="C2" s="151"/>
      <c r="D2" s="151"/>
      <c r="E2" s="151"/>
      <c r="F2" s="151"/>
    </row>
    <row r="4" spans="2:21" x14ac:dyDescent="0.2">
      <c r="E4" s="152" t="s">
        <v>100</v>
      </c>
    </row>
    <row r="5" spans="2:21" ht="38.2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4" t="s">
        <v>225</v>
      </c>
      <c r="G5" s="159" t="s">
        <v>226</v>
      </c>
      <c r="H5" s="155" t="s">
        <v>227</v>
      </c>
      <c r="I5" s="155" t="s">
        <v>228</v>
      </c>
      <c r="J5" s="155" t="s">
        <v>229</v>
      </c>
      <c r="K5" s="155" t="s">
        <v>230</v>
      </c>
      <c r="L5" s="155" t="s">
        <v>231</v>
      </c>
      <c r="M5" s="155" t="s">
        <v>232</v>
      </c>
      <c r="N5" s="155" t="s">
        <v>233</v>
      </c>
      <c r="O5" s="153" t="s">
        <v>234</v>
      </c>
      <c r="P5" s="153" t="s">
        <v>235</v>
      </c>
      <c r="Q5" s="153" t="s">
        <v>236</v>
      </c>
      <c r="R5" s="153" t="s">
        <v>109</v>
      </c>
      <c r="S5" s="153" t="s">
        <v>110</v>
      </c>
      <c r="T5" s="160" t="s">
        <v>237</v>
      </c>
      <c r="U5" s="161" t="s">
        <v>238</v>
      </c>
    </row>
    <row r="6" spans="2:21" ht="13.5" thickBot="1" x14ac:dyDescent="0.25">
      <c r="B6" s="156" t="s">
        <v>239</v>
      </c>
      <c r="C6" s="156"/>
      <c r="D6" s="156"/>
      <c r="E6" s="157"/>
      <c r="F6" s="157"/>
      <c r="G6" s="156" t="s">
        <v>240</v>
      </c>
      <c r="H6" s="156" t="s">
        <v>77</v>
      </c>
      <c r="I6" s="156" t="s">
        <v>77</v>
      </c>
      <c r="J6" s="156" t="s">
        <v>77</v>
      </c>
      <c r="K6" s="156" t="s">
        <v>77</v>
      </c>
      <c r="L6" s="156" t="s">
        <v>77</v>
      </c>
      <c r="M6" s="156" t="s">
        <v>77</v>
      </c>
      <c r="N6" s="156" t="s">
        <v>77</v>
      </c>
      <c r="O6" s="156" t="s">
        <v>241</v>
      </c>
      <c r="P6" s="156" t="s">
        <v>240</v>
      </c>
      <c r="Q6" s="156" t="s">
        <v>242</v>
      </c>
      <c r="R6" s="156" t="s">
        <v>278</v>
      </c>
      <c r="S6" s="156" t="s">
        <v>243</v>
      </c>
      <c r="T6" s="156"/>
      <c r="U6" s="156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 t="s">
        <v>245</v>
      </c>
      <c r="U8" s="158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H18" sqref="H18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210" t="s">
        <v>111</v>
      </c>
      <c r="C6" s="210" t="s">
        <v>129</v>
      </c>
      <c r="D6" s="224" t="s">
        <v>130</v>
      </c>
      <c r="E6" s="224"/>
      <c r="F6" s="224"/>
      <c r="G6" s="224"/>
    </row>
    <row r="7" spans="2:9" ht="15.75" customHeight="1" x14ac:dyDescent="0.2">
      <c r="B7" s="208" t="str">
        <f>SEC_Processes!D15</f>
        <v>ELE_EX_HC</v>
      </c>
      <c r="C7" s="207" t="s">
        <v>45</v>
      </c>
      <c r="D7" s="198">
        <v>96</v>
      </c>
      <c r="E7" s="209"/>
      <c r="F7" s="209"/>
      <c r="G7" s="209"/>
    </row>
    <row r="8" spans="2:9" ht="15.75" customHeight="1" x14ac:dyDescent="0.2">
      <c r="B8" s="193" t="str">
        <f>SEC_Processes!D16</f>
        <v>ELE_EX_OILGAS</v>
      </c>
      <c r="C8" s="207" t="s">
        <v>45</v>
      </c>
      <c r="D8" s="194"/>
      <c r="E8" s="194">
        <v>112</v>
      </c>
      <c r="F8" s="194"/>
      <c r="G8" s="194"/>
    </row>
    <row r="9" spans="2:9" ht="15.75" customHeight="1" x14ac:dyDescent="0.2">
      <c r="B9" s="211" t="str">
        <f>SEC_Processes!D27</f>
        <v>REFINARY</v>
      </c>
      <c r="C9" s="214" t="s">
        <v>45</v>
      </c>
      <c r="D9" s="212"/>
      <c r="E9" s="212"/>
      <c r="F9" s="212"/>
      <c r="G9" s="213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2026-05-19T12:51:21Z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