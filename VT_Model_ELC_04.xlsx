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5EAB712A-BC6B-465E-8B83-95C59AB7D0F9}" xr6:coauthVersionLast="47" xr6:coauthVersionMax="47" xr10:uidLastSave="{00000000-0000-0000-0000-000000000000}"/>
  <bookViews>
    <workbookView xWindow="25695" yWindow="0" windowWidth="26010" windowHeight="20985" tabRatio="901" activeTab="7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  <sheet name="IMPNRGZ_BND" sheetId="146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I12" i="133" l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R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<sst xmlns="http://schemas.openxmlformats.org/spreadsheetml/2006/main" count="890" uniqueCount="369">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</sst>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7" borderId="31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1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0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34" fillId="8" borderId="0" xfId="0" applyFont="1" applyFill="1"/>
    <xf numFmtId="164" fontId="34" fillId="8" borderId="0" xfId="0" applyNumberFormat="1" applyFont="1" applyFill="1"/>
    <xf numFmtId="0" fontId="34" fillId="7" borderId="0" xfId="0" applyFont="1" applyFill="1"/>
    <xf numFmtId="164" fontId="34" fillId="7" borderId="0" xfId="0" applyNumberFormat="1" applyFont="1" applyFill="1"/>
    <xf numFmtId="0" fontId="4" fillId="5" borderId="4" xfId="0" applyFont="1" applyFill="1" applyBorder="1"/>
    <xf numFmtId="0" fontId="18" fillId="5" borderId="4" xfId="4" applyFont="1" applyFill="1" applyBorder="1" applyAlignment="1">
      <alignment horizontal="left"/>
    </xf>
    <xf numFmtId="2" fontId="18" fillId="5" borderId="4" xfId="0" applyNumberFormat="1" applyFont="1" applyFill="1" applyBorder="1" applyAlignment="1">
      <alignment horizontal="right"/>
    </xf>
    <xf numFmtId="2" fontId="37" fillId="5" borderId="4" xfId="0" applyNumberFormat="1" applyFont="1" applyFill="1" applyBorder="1" applyAlignment="1">
      <alignment horizontal="right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17" t="s">
        <v>183</v>
      </c>
      <c r="C6" s="220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18"/>
      <c r="C7" s="221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19"/>
      <c r="C8" s="222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15" t="s">
        <v>213</v>
      </c>
      <c r="C27" s="213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16"/>
      <c r="C28" s="214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4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4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5" t="s">
        <v>12</v>
      </c>
      <c r="C41" s="213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16"/>
      <c r="C42" s="214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76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19" t="s">
        <v>36</v>
      </c>
      <c r="C7" s="119" t="s">
        <v>153</v>
      </c>
      <c r="D7" s="119" t="s">
        <v>37</v>
      </c>
      <c r="E7" s="119" t="s">
        <v>38</v>
      </c>
      <c r="F7" s="119"/>
      <c r="G7" s="119" t="s">
        <v>39</v>
      </c>
      <c r="H7" s="119" t="s">
        <v>40</v>
      </c>
      <c r="I7" s="119" t="s">
        <v>41</v>
      </c>
    </row>
    <row r="8" spans="2:9" ht="18.75" customHeight="1" x14ac:dyDescent="0.2">
      <c r="B8" s="126" t="s">
        <v>36</v>
      </c>
      <c r="C8" s="126" t="s">
        <v>275</v>
      </c>
      <c r="D8" s="126" t="s">
        <v>276</v>
      </c>
      <c r="E8" s="126" t="s">
        <v>38</v>
      </c>
      <c r="F8" s="126"/>
      <c r="G8" s="126" t="s">
        <v>39</v>
      </c>
      <c r="H8" s="126" t="s">
        <v>40</v>
      </c>
      <c r="I8" s="126" t="s">
        <v>41</v>
      </c>
    </row>
    <row r="9" spans="2:9" ht="18.75" customHeight="1" x14ac:dyDescent="0.2">
      <c r="B9" s="128" t="s">
        <v>36</v>
      </c>
      <c r="C9" s="128" t="s">
        <v>154</v>
      </c>
      <c r="D9" s="128" t="s">
        <v>42</v>
      </c>
      <c r="E9" s="128" t="s">
        <v>38</v>
      </c>
      <c r="F9" s="128"/>
      <c r="G9" s="128" t="s">
        <v>39</v>
      </c>
      <c r="H9" s="128"/>
      <c r="I9" s="128" t="s">
        <v>41</v>
      </c>
    </row>
    <row r="10" spans="2:9" ht="18.75" customHeight="1" x14ac:dyDescent="0.2">
      <c r="B10" s="126" t="s">
        <v>36</v>
      </c>
      <c r="C10" s="126" t="s">
        <v>308</v>
      </c>
      <c r="D10" s="126" t="s">
        <v>322</v>
      </c>
      <c r="E10" s="126" t="s">
        <v>38</v>
      </c>
      <c r="F10" s="126"/>
      <c r="G10" s="126" t="s">
        <v>39</v>
      </c>
      <c r="H10" s="126"/>
      <c r="I10" s="126" t="s">
        <v>41</v>
      </c>
    </row>
    <row r="11" spans="2:9" ht="18.75" customHeight="1" x14ac:dyDescent="0.2">
      <c r="B11" s="128" t="s">
        <v>36</v>
      </c>
      <c r="C11" s="128" t="s">
        <v>306</v>
      </c>
      <c r="D11" s="128" t="s">
        <v>307</v>
      </c>
      <c r="E11" s="128" t="s">
        <v>38</v>
      </c>
      <c r="F11" s="128"/>
      <c r="G11" s="128" t="s">
        <v>39</v>
      </c>
      <c r="H11" s="128"/>
      <c r="I11" s="128" t="s">
        <v>41</v>
      </c>
    </row>
    <row r="12" spans="2:9" ht="18.75" customHeight="1" x14ac:dyDescent="0.2">
      <c r="B12" s="126" t="s">
        <v>36</v>
      </c>
      <c r="C12" s="126" t="s">
        <v>290</v>
      </c>
      <c r="D12" s="126" t="s">
        <v>291</v>
      </c>
      <c r="E12" s="126" t="s">
        <v>38</v>
      </c>
      <c r="F12" s="126"/>
      <c r="G12" s="126" t="s">
        <v>39</v>
      </c>
      <c r="H12" s="126"/>
      <c r="I12" s="126" t="s">
        <v>41</v>
      </c>
    </row>
    <row r="13" spans="2:9" ht="18.75" customHeight="1" x14ac:dyDescent="0.2">
      <c r="B13" s="187" t="s">
        <v>44</v>
      </c>
      <c r="C13" s="187" t="s">
        <v>45</v>
      </c>
      <c r="D13" s="187" t="s">
        <v>46</v>
      </c>
      <c r="E13" s="187" t="s">
        <v>47</v>
      </c>
      <c r="F13" s="187"/>
      <c r="G13" s="187"/>
      <c r="H13" s="187" t="s">
        <v>40</v>
      </c>
      <c r="I13" s="187"/>
    </row>
    <row r="14" spans="2:9" ht="18.75" customHeight="1" x14ac:dyDescent="0.2">
      <c r="B14" s="126" t="s">
        <v>239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185" t="s">
        <v>36</v>
      </c>
      <c r="C25" s="42" t="s">
        <v>297</v>
      </c>
      <c r="D25" s="185" t="s">
        <v>312</v>
      </c>
      <c r="E25" s="186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185" t="s">
        <v>36</v>
      </c>
      <c r="C27" s="42" t="s">
        <v>302</v>
      </c>
      <c r="D27" s="185" t="s">
        <v>333</v>
      </c>
      <c r="E27" s="186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185" t="s">
        <v>36</v>
      </c>
      <c r="C29" s="42" t="s">
        <v>325</v>
      </c>
      <c r="D29" s="42" t="s">
        <v>334</v>
      </c>
      <c r="E29" s="186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185" t="s">
        <v>36</v>
      </c>
      <c r="C31" s="42" t="s">
        <v>315</v>
      </c>
      <c r="D31" s="42" t="s">
        <v>315</v>
      </c>
      <c r="E31" s="186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185" t="s">
        <v>36</v>
      </c>
      <c r="C33" s="42" t="s">
        <v>328</v>
      </c>
      <c r="D33" s="185" t="s">
        <v>336</v>
      </c>
      <c r="E33" s="186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185" t="s">
        <v>36</v>
      </c>
      <c r="C35" s="42" t="s">
        <v>178</v>
      </c>
      <c r="D35" s="185" t="s">
        <v>179</v>
      </c>
      <c r="E35" s="186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3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3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196" t="s">
        <v>36</v>
      </c>
      <c r="C43" s="197" t="s">
        <v>223</v>
      </c>
      <c r="D43" s="196" t="s">
        <v>223</v>
      </c>
      <c r="E43" s="198" t="s">
        <v>38</v>
      </c>
      <c r="F43" s="199"/>
      <c r="G43" s="199"/>
      <c r="H43" s="199"/>
      <c r="I43" s="199"/>
    </row>
    <row r="47" spans="2:9" ht="13.5" thickBot="1" x14ac:dyDescent="0.25">
      <c r="B47" s="223" t="s">
        <v>48</v>
      </c>
      <c r="C47" s="223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00" t="s">
        <v>239</v>
      </c>
      <c r="C7" s="121" t="s">
        <v>193</v>
      </c>
      <c r="D7" s="121" t="s">
        <v>281</v>
      </c>
      <c r="E7" s="121" t="s">
        <v>283</v>
      </c>
      <c r="F7" s="121" t="s">
        <v>38</v>
      </c>
      <c r="G7" s="121" t="s">
        <v>77</v>
      </c>
      <c r="H7" s="121" t="s">
        <v>40</v>
      </c>
      <c r="I7" s="121"/>
      <c r="J7" s="121"/>
    </row>
    <row r="8" spans="1:10" ht="18.75" customHeight="1" x14ac:dyDescent="0.2">
      <c r="B8" s="66" t="s">
        <v>239</v>
      </c>
      <c r="C8" s="127" t="s">
        <v>193</v>
      </c>
      <c r="D8" s="127" t="s">
        <v>280</v>
      </c>
      <c r="E8" s="127" t="s">
        <v>282</v>
      </c>
      <c r="F8" s="127" t="s">
        <v>38</v>
      </c>
      <c r="G8" s="127" t="s">
        <v>77</v>
      </c>
      <c r="H8" s="127" t="s">
        <v>40</v>
      </c>
      <c r="I8" s="127"/>
      <c r="J8" s="127"/>
    </row>
    <row r="9" spans="1:10" ht="18.75" customHeight="1" x14ac:dyDescent="0.2">
      <c r="B9" s="49" t="s">
        <v>239</v>
      </c>
      <c r="C9" s="129" t="s">
        <v>193</v>
      </c>
      <c r="D9" s="129" t="s">
        <v>284</v>
      </c>
      <c r="E9" s="128" t="s">
        <v>287</v>
      </c>
      <c r="F9" s="129" t="s">
        <v>38</v>
      </c>
      <c r="G9" s="129" t="s">
        <v>77</v>
      </c>
      <c r="H9" s="129" t="s">
        <v>40</v>
      </c>
      <c r="I9" s="129"/>
      <c r="J9" s="129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75</v>
      </c>
      <c r="C11" s="122" t="s">
        <v>193</v>
      </c>
      <c r="D11" s="122" t="s">
        <v>155</v>
      </c>
      <c r="E11" s="122" t="s">
        <v>76</v>
      </c>
      <c r="F11" s="122" t="s">
        <v>38</v>
      </c>
      <c r="G11" s="122" t="s">
        <v>77</v>
      </c>
      <c r="H11" s="122" t="s">
        <v>39</v>
      </c>
      <c r="I11" s="122"/>
      <c r="J11" s="122"/>
    </row>
    <row r="12" spans="1:10" ht="18.75" customHeight="1" x14ac:dyDescent="0.2">
      <c r="B12" s="126" t="s">
        <v>75</v>
      </c>
      <c r="C12" s="127" t="s">
        <v>193</v>
      </c>
      <c r="D12" s="127" t="s">
        <v>285</v>
      </c>
      <c r="E12" s="127" t="s">
        <v>286</v>
      </c>
      <c r="F12" s="127" t="s">
        <v>38</v>
      </c>
      <c r="G12" s="127" t="s">
        <v>77</v>
      </c>
      <c r="H12" s="127" t="s">
        <v>39</v>
      </c>
      <c r="I12" s="127"/>
      <c r="J12" s="127"/>
    </row>
    <row r="13" spans="1:10" ht="18.75" customHeight="1" x14ac:dyDescent="0.2">
      <c r="B13" s="120" t="s">
        <v>75</v>
      </c>
      <c r="C13" s="122" t="s">
        <v>193</v>
      </c>
      <c r="D13" s="122" t="s">
        <v>344</v>
      </c>
      <c r="E13" s="122" t="s">
        <v>345</v>
      </c>
      <c r="F13" s="122" t="s">
        <v>38</v>
      </c>
      <c r="G13" s="122" t="s">
        <v>77</v>
      </c>
      <c r="H13" s="122" t="s">
        <v>39</v>
      </c>
      <c r="I13" s="122"/>
      <c r="J13" s="122"/>
    </row>
    <row r="14" spans="1:10" ht="18.75" customHeight="1" x14ac:dyDescent="0.2">
      <c r="B14" s="126" t="s">
        <v>75</v>
      </c>
      <c r="C14" s="127" t="s">
        <v>193</v>
      </c>
      <c r="D14" s="127" t="s">
        <v>156</v>
      </c>
      <c r="E14" s="127" t="s">
        <v>346</v>
      </c>
      <c r="F14" s="127" t="s">
        <v>38</v>
      </c>
      <c r="G14" s="127" t="s">
        <v>77</v>
      </c>
      <c r="H14" s="127" t="s">
        <v>39</v>
      </c>
      <c r="I14" s="127"/>
      <c r="J14" s="127"/>
    </row>
    <row r="15" spans="1:10" ht="18.75" customHeight="1" x14ac:dyDescent="0.2">
      <c r="B15" s="120" t="s">
        <v>75</v>
      </c>
      <c r="C15" s="122" t="s">
        <v>193</v>
      </c>
      <c r="D15" s="122" t="s">
        <v>157</v>
      </c>
      <c r="E15" s="122" t="s">
        <v>78</v>
      </c>
      <c r="F15" s="122" t="s">
        <v>38</v>
      </c>
      <c r="G15" s="122" t="s">
        <v>77</v>
      </c>
      <c r="H15" s="122" t="s">
        <v>39</v>
      </c>
      <c r="I15" s="122"/>
      <c r="J15" s="122"/>
    </row>
    <row r="16" spans="1:10" ht="18.75" customHeight="1" x14ac:dyDescent="0.2">
      <c r="B16" s="126" t="s">
        <v>75</v>
      </c>
      <c r="C16" s="127" t="s">
        <v>193</v>
      </c>
      <c r="D16" s="127" t="s">
        <v>194</v>
      </c>
      <c r="E16" s="127" t="s">
        <v>195</v>
      </c>
      <c r="F16" s="127" t="s">
        <v>38</v>
      </c>
      <c r="G16" s="127" t="s">
        <v>77</v>
      </c>
      <c r="H16" s="127" t="s">
        <v>39</v>
      </c>
      <c r="I16" s="127"/>
      <c r="J16" s="127"/>
    </row>
    <row r="17" spans="1:10" ht="18.75" customHeight="1" x14ac:dyDescent="0.2">
      <c r="B17" s="120" t="s">
        <v>75</v>
      </c>
      <c r="C17" s="122" t="s">
        <v>193</v>
      </c>
      <c r="D17" s="122" t="s">
        <v>196</v>
      </c>
      <c r="E17" s="122" t="s">
        <v>197</v>
      </c>
      <c r="F17" s="122" t="s">
        <v>38</v>
      </c>
      <c r="G17" s="122" t="s">
        <v>77</v>
      </c>
      <c r="H17" s="122" t="s">
        <v>39</v>
      </c>
      <c r="I17" s="122"/>
      <c r="J17" s="122"/>
    </row>
    <row r="18" spans="1:10" ht="18.75" customHeight="1" x14ac:dyDescent="0.2">
      <c r="B18" s="126" t="s">
        <v>75</v>
      </c>
      <c r="C18" s="127" t="s">
        <v>193</v>
      </c>
      <c r="D18" s="127" t="s">
        <v>198</v>
      </c>
      <c r="E18" s="127" t="s">
        <v>199</v>
      </c>
      <c r="F18" s="127" t="s">
        <v>38</v>
      </c>
      <c r="G18" s="127" t="s">
        <v>77</v>
      </c>
      <c r="H18" s="127" t="s">
        <v>39</v>
      </c>
      <c r="I18" s="127"/>
      <c r="J18" s="127"/>
    </row>
    <row r="19" spans="1:10" ht="18.75" customHeight="1" x14ac:dyDescent="0.2">
      <c r="B19" s="128" t="s">
        <v>75</v>
      </c>
      <c r="C19" s="129" t="s">
        <v>193</v>
      </c>
      <c r="D19" s="129" t="s">
        <v>200</v>
      </c>
      <c r="E19" s="129" t="s">
        <v>201</v>
      </c>
      <c r="F19" s="129" t="s">
        <v>38</v>
      </c>
      <c r="G19" s="129" t="s">
        <v>77</v>
      </c>
      <c r="H19" s="129" t="s">
        <v>39</v>
      </c>
      <c r="I19" s="129"/>
      <c r="J19" s="129"/>
    </row>
    <row r="20" spans="1:10" ht="18.75" customHeight="1" x14ac:dyDescent="0.2">
      <c r="B20" s="126" t="s">
        <v>246</v>
      </c>
      <c r="C20" s="127" t="s">
        <v>193</v>
      </c>
      <c r="D20" s="127" t="s">
        <v>260</v>
      </c>
      <c r="E20" s="127" t="s">
        <v>247</v>
      </c>
      <c r="F20" s="127" t="s">
        <v>38</v>
      </c>
      <c r="G20" s="127" t="s">
        <v>77</v>
      </c>
      <c r="H20" s="127" t="s">
        <v>39</v>
      </c>
      <c r="I20" s="127"/>
      <c r="J20" s="127"/>
    </row>
    <row r="21" spans="1:10" ht="18.75" customHeight="1" x14ac:dyDescent="0.2">
      <c r="B21" s="128" t="s">
        <v>75</v>
      </c>
      <c r="C21" s="129" t="s">
        <v>193</v>
      </c>
      <c r="D21" s="129" t="s">
        <v>221</v>
      </c>
      <c r="E21" s="129" t="s">
        <v>222</v>
      </c>
      <c r="F21" s="129" t="s">
        <v>38</v>
      </c>
      <c r="G21" s="129" t="s">
        <v>77</v>
      </c>
      <c r="H21" s="129" t="s">
        <v>39</v>
      </c>
      <c r="I21" s="129"/>
      <c r="J21" s="129"/>
    </row>
    <row r="22" spans="1:10" ht="18.75" customHeight="1" x14ac:dyDescent="0.2">
      <c r="B22" s="126" t="s">
        <v>90</v>
      </c>
      <c r="C22" s="127" t="s">
        <v>193</v>
      </c>
      <c r="D22" s="127" t="s">
        <v>256</v>
      </c>
      <c r="E22" s="127" t="s">
        <v>257</v>
      </c>
      <c r="F22" s="127" t="s">
        <v>38</v>
      </c>
      <c r="G22" s="127" t="s">
        <v>77</v>
      </c>
      <c r="H22" s="127" t="s">
        <v>40</v>
      </c>
      <c r="I22" s="127"/>
      <c r="J22" s="127"/>
    </row>
    <row r="23" spans="1:10" ht="18.75" customHeight="1" x14ac:dyDescent="0.2">
      <c r="B23" s="128" t="s">
        <v>93</v>
      </c>
      <c r="C23" s="129" t="s">
        <v>193</v>
      </c>
      <c r="D23" s="129" t="s">
        <v>261</v>
      </c>
      <c r="E23" s="129" t="s">
        <v>262</v>
      </c>
      <c r="F23" s="129" t="s">
        <v>38</v>
      </c>
      <c r="G23" s="129" t="s">
        <v>77</v>
      </c>
      <c r="H23" s="129" t="s">
        <v>40</v>
      </c>
      <c r="I23" s="129"/>
      <c r="J23" s="129"/>
    </row>
    <row r="24" spans="1:10" ht="18.75" customHeight="1" x14ac:dyDescent="0.2">
      <c r="A24" s="62"/>
      <c r="B24" s="126" t="s">
        <v>81</v>
      </c>
      <c r="C24" s="127" t="s">
        <v>193</v>
      </c>
      <c r="D24" s="127" t="s">
        <v>271</v>
      </c>
      <c r="E24" s="127" t="s">
        <v>272</v>
      </c>
      <c r="F24" s="127" t="s">
        <v>38</v>
      </c>
      <c r="G24" s="127" t="s">
        <v>77</v>
      </c>
      <c r="H24" s="127" t="s">
        <v>39</v>
      </c>
      <c r="I24" s="127"/>
      <c r="J24" s="127"/>
    </row>
    <row r="25" spans="1:10" ht="18.75" customHeight="1" x14ac:dyDescent="0.2">
      <c r="A25" s="62"/>
      <c r="B25" s="128" t="s">
        <v>81</v>
      </c>
      <c r="C25" s="129" t="s">
        <v>193</v>
      </c>
      <c r="D25" s="129" t="s">
        <v>273</v>
      </c>
      <c r="E25" s="129" t="s">
        <v>274</v>
      </c>
      <c r="F25" s="129" t="s">
        <v>38</v>
      </c>
      <c r="G25" s="129" t="s">
        <v>77</v>
      </c>
      <c r="H25" s="129" t="s">
        <v>39</v>
      </c>
      <c r="I25" s="129"/>
      <c r="J25" s="129"/>
    </row>
    <row r="26" spans="1:10" ht="18.75" customHeight="1" x14ac:dyDescent="0.2">
      <c r="A26" s="61"/>
      <c r="B26" s="128" t="s">
        <v>81</v>
      </c>
      <c r="C26" s="129" t="s">
        <v>193</v>
      </c>
      <c r="D26" s="129" t="s">
        <v>289</v>
      </c>
      <c r="E26" s="129" t="s">
        <v>288</v>
      </c>
      <c r="F26" s="129" t="s">
        <v>38</v>
      </c>
      <c r="G26" s="129" t="s">
        <v>77</v>
      </c>
      <c r="H26" s="129" t="s">
        <v>39</v>
      </c>
      <c r="I26" s="129"/>
      <c r="J26" s="129"/>
    </row>
    <row r="27" spans="1:10" ht="18.75" customHeight="1" x14ac:dyDescent="0.2">
      <c r="A27" s="62"/>
      <c r="B27" s="126" t="s">
        <v>81</v>
      </c>
      <c r="C27" s="127" t="s">
        <v>193</v>
      </c>
      <c r="D27" s="127" t="s">
        <v>292</v>
      </c>
      <c r="E27" s="127" t="s">
        <v>293</v>
      </c>
      <c r="F27" s="127" t="s">
        <v>38</v>
      </c>
      <c r="G27" s="127" t="s">
        <v>266</v>
      </c>
      <c r="H27" s="127" t="s">
        <v>40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4" t="s">
        <v>82</v>
      </c>
      <c r="C31" s="224"/>
      <c r="D31" s="224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25" t="s">
        <v>300</v>
      </c>
      <c r="J4" s="225"/>
      <c r="K4" s="225"/>
      <c r="L4" s="225"/>
      <c r="M4" s="225"/>
      <c r="N4" s="225"/>
      <c r="O4" s="225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thickBot="1" x14ac:dyDescent="0.25">
      <c r="B6" s="165"/>
      <c r="C6" s="61"/>
      <c r="D6" s="169"/>
      <c r="E6" s="183" t="s">
        <v>302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298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325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297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303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314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315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326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204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25" t="s">
        <v>116</v>
      </c>
      <c r="I6" s="225"/>
      <c r="J6" s="225"/>
      <c r="K6" s="225"/>
      <c r="L6" s="225"/>
      <c r="M6" s="225"/>
      <c r="N6" s="225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zoomScale="76" zoomScaleNormal="85" workbookViewId="0">
      <selection activeCell="C62" sqref="C62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25" t="s">
        <v>116</v>
      </c>
      <c r="I6" s="225"/>
      <c r="J6" s="225"/>
      <c r="K6" s="225"/>
      <c r="L6" s="225"/>
      <c r="M6" s="225"/>
      <c r="N6" s="225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6" t="str">
        <f>SEC_Processes!D17</f>
        <v>ELE_EX_BIOMASS</v>
      </c>
      <c r="C7" s="135" t="s">
        <v>209</v>
      </c>
      <c r="D7" s="116" t="s">
        <v>176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</v>
      </c>
      <c r="K7" s="139">
        <v>0</v>
      </c>
      <c r="L7" s="139">
        <v>0</v>
      </c>
      <c r="M7" s="139">
        <v>0</v>
      </c>
      <c r="N7" s="139">
        <v>0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0.24</v>
      </c>
      <c r="I8" s="47">
        <v>0.24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206</v>
      </c>
      <c r="D9" s="116" t="s">
        <v>192</v>
      </c>
      <c r="E9" s="61" t="str">
        <f>SEC_Comm!C7</f>
        <v>ELEC_HV</v>
      </c>
      <c r="F9" s="131">
        <v>1</v>
      </c>
      <c r="G9" s="61">
        <v>31.536000000000001</v>
      </c>
      <c r="H9" s="139">
        <v>7.0000000000000007E-2</v>
      </c>
      <c r="I9" s="139">
        <v>7.0000000000000007E-2</v>
      </c>
      <c r="J9" s="139">
        <v>0</v>
      </c>
      <c r="K9" s="139">
        <v>0</v>
      </c>
      <c r="L9" s="139">
        <v>0</v>
      </c>
      <c r="M9" s="139">
        <v>0</v>
      </c>
      <c r="N9" s="139">
        <v>0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6">
        <v>0.2</v>
      </c>
      <c r="I10" s="146">
        <v>0.2</v>
      </c>
      <c r="J10" s="146">
        <v>0</v>
      </c>
      <c r="K10" s="146">
        <v>0</v>
      </c>
      <c r="L10" s="146">
        <v>0</v>
      </c>
      <c r="M10" s="146">
        <v>0</v>
      </c>
      <c r="N10" s="146">
        <v>0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222</v>
      </c>
      <c r="D11" s="116" t="s">
        <v>223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0">
        <v>1.17</v>
      </c>
      <c r="I12" s="47">
        <f>H12+0.049</f>
        <v>1.2189999999999999</v>
      </c>
      <c r="J12" s="47">
        <v>0.4</v>
      </c>
      <c r="K12" s="47">
        <v>0.3</v>
      </c>
      <c r="L12" s="47">
        <v>0.2</v>
      </c>
      <c r="M12" s="47">
        <v>0</v>
      </c>
      <c r="N12" s="47">
        <v>0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124</v>
      </c>
      <c r="E13" s="46" t="s">
        <v>308</v>
      </c>
      <c r="F13" s="131">
        <v>1</v>
      </c>
      <c r="G13" s="61">
        <v>31.536000000000001</v>
      </c>
      <c r="H13" s="201">
        <v>7.1999999999999995E-2</v>
      </c>
      <c r="I13" s="131">
        <v>0.08</v>
      </c>
      <c r="J13" s="131">
        <v>0</v>
      </c>
      <c r="K13" s="131">
        <v>0</v>
      </c>
      <c r="L13" s="131">
        <v>0</v>
      </c>
      <c r="M13" s="131">
        <v>0</v>
      </c>
      <c r="N13" s="131">
        <v>0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0.26300000000000001</v>
      </c>
      <c r="I14" s="47">
        <v>0.26300000000000001</v>
      </c>
      <c r="J14" s="47">
        <v>0.1</v>
      </c>
      <c r="K14" s="47">
        <v>0</v>
      </c>
      <c r="L14" s="47">
        <v>0</v>
      </c>
      <c r="M14" s="47">
        <v>0</v>
      </c>
      <c r="N14" s="47">
        <v>0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124</v>
      </c>
      <c r="E15" s="64" t="s">
        <v>308</v>
      </c>
      <c r="F15" s="84">
        <v>1</v>
      </c>
      <c r="G15" s="64">
        <v>31.536000000000001</v>
      </c>
      <c r="H15" s="141">
        <v>0.8</v>
      </c>
      <c r="I15" s="84">
        <v>0.2</v>
      </c>
      <c r="J15" s="84">
        <v>0.2</v>
      </c>
      <c r="K15" s="84">
        <v>0</v>
      </c>
      <c r="L15" s="84">
        <v>0</v>
      </c>
      <c r="M15" s="84">
        <v>0</v>
      </c>
      <c r="N15" s="84">
        <v>0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185" t="s">
        <v>36</v>
      </c>
      <c r="C28" s="42" t="s">
        <v>297</v>
      </c>
      <c r="D28" s="185" t="s">
        <v>312</v>
      </c>
      <c r="E28" s="186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185" t="s">
        <v>36</v>
      </c>
      <c r="C30" s="42" t="s">
        <v>302</v>
      </c>
      <c r="D30" s="185" t="s">
        <v>333</v>
      </c>
      <c r="E30" s="186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185" t="s">
        <v>36</v>
      </c>
      <c r="C32" s="42" t="s">
        <v>325</v>
      </c>
      <c r="D32" s="42" t="s">
        <v>334</v>
      </c>
      <c r="E32" s="186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185" t="s">
        <v>36</v>
      </c>
      <c r="C34" s="42" t="s">
        <v>315</v>
      </c>
      <c r="D34" s="42" t="s">
        <v>315</v>
      </c>
      <c r="E34" s="186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185" t="s">
        <v>36</v>
      </c>
      <c r="C36" s="42" t="s">
        <v>328</v>
      </c>
      <c r="D36" s="185" t="s">
        <v>336</v>
      </c>
      <c r="E36" s="186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185" t="s">
        <v>36</v>
      </c>
      <c r="C38" s="42" t="s">
        <v>178</v>
      </c>
      <c r="D38" s="185" t="s">
        <v>179</v>
      </c>
      <c r="E38" s="186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3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3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196" t="s">
        <v>36</v>
      </c>
      <c r="C46" s="197" t="s">
        <v>223</v>
      </c>
      <c r="D46" s="196" t="s">
        <v>223</v>
      </c>
      <c r="E46" s="198" t="s">
        <v>38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R28"/>
  <sheetViews>
    <sheetView tabSelected="1" topLeftCell="E1" zoomScale="90" zoomScaleNormal="110" workbookViewId="0">
      <selection activeCell="K25" sqref="K25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53.28515625" customWidth="1"/>
  </cols>
  <sheetData>
    <row r="2" spans="2:18" ht="18" x14ac:dyDescent="0.25">
      <c r="B2" s="102" t="s">
        <v>125</v>
      </c>
      <c r="C2" s="41"/>
      <c r="E2" s="26"/>
      <c r="F2" s="26"/>
      <c r="G2" s="26"/>
      <c r="H2" s="26"/>
    </row>
    <row r="3" spans="2:18" x14ac:dyDescent="0.2">
      <c r="B3" s="31"/>
      <c r="C3" s="25"/>
      <c r="E3" s="26"/>
      <c r="F3" s="26"/>
      <c r="G3" s="26"/>
      <c r="H3" s="26"/>
    </row>
    <row r="4" spans="2:18" ht="15.75" customHeight="1" x14ac:dyDescent="0.2">
      <c r="E4" s="36" t="s">
        <v>100</v>
      </c>
      <c r="F4" s="36"/>
      <c r="G4" s="36"/>
      <c r="H4" s="36"/>
      <c r="I4" s="34"/>
      <c r="J4" s="34"/>
    </row>
    <row r="5" spans="2:18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P5" s="106" t="s">
        <v>132</v>
      </c>
      <c r="Q5" s="106" t="s">
        <v>133</v>
      </c>
      <c r="R5" s="106" t="s">
        <v>205</v>
      </c>
    </row>
    <row r="6" spans="2:18" ht="31.7" customHeight="1" x14ac:dyDescent="0.2">
      <c r="B6" s="118" t="s">
        <v>111</v>
      </c>
      <c r="C6" s="118" t="s">
        <v>70</v>
      </c>
      <c r="D6" s="118" t="s">
        <v>112</v>
      </c>
      <c r="E6" s="118" t="s">
        <v>113</v>
      </c>
      <c r="F6" s="118" t="s">
        <v>114</v>
      </c>
      <c r="G6" s="118" t="s">
        <v>270</v>
      </c>
      <c r="H6" s="118" t="s">
        <v>77</v>
      </c>
      <c r="I6" s="118"/>
      <c r="J6" s="118"/>
      <c r="K6" s="118" t="s">
        <v>277</v>
      </c>
      <c r="L6" s="118" t="s">
        <v>277</v>
      </c>
      <c r="M6" s="118" t="s">
        <v>277</v>
      </c>
      <c r="N6" s="118" t="s">
        <v>277</v>
      </c>
      <c r="O6" s="118" t="s">
        <v>277</v>
      </c>
      <c r="P6" s="118"/>
      <c r="Q6" s="118"/>
    </row>
    <row r="7" spans="2:18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50</v>
      </c>
      <c r="N7">
        <v>30</v>
      </c>
      <c r="P7">
        <v>1</v>
      </c>
      <c r="Q7">
        <v>1</v>
      </c>
      <c r="R7" s="1">
        <f>1-F7</f>
        <v>6.0000000000000053E-2</v>
      </c>
    </row>
    <row r="8" spans="2:18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70</v>
      </c>
      <c r="N8" s="62"/>
      <c r="O8" s="62"/>
      <c r="P8" s="62">
        <v>1</v>
      </c>
      <c r="Q8" s="62">
        <v>1</v>
      </c>
    </row>
    <row r="9" spans="2:18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spans="2:18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150</v>
      </c>
      <c r="N10">
        <v>50</v>
      </c>
      <c r="O10">
        <v>50</v>
      </c>
      <c r="P10">
        <v>1</v>
      </c>
      <c r="Q10">
        <v>1</v>
      </c>
    </row>
    <row r="11" spans="2:18" ht="18.95" customHeight="1" x14ac:dyDescent="0.2">
      <c r="B11" s="207"/>
      <c r="C11" s="207"/>
      <c r="D11" s="207"/>
      <c r="E11" s="207" t="s">
        <v>290</v>
      </c>
      <c r="F11" s="207"/>
      <c r="G11" s="207"/>
      <c r="H11" s="207"/>
      <c r="I11" s="207"/>
      <c r="J11" s="207"/>
      <c r="K11" s="207"/>
      <c r="L11" s="207"/>
      <c r="M11" s="207" t="s">
        <v>290</v>
      </c>
      <c r="N11" s="207"/>
      <c r="O11" s="207"/>
      <c r="P11" s="207"/>
      <c r="Q11" s="207"/>
    </row>
    <row r="12" spans="2:18" x14ac:dyDescent="0.2">
      <c r="E12" s="23"/>
      <c r="F12" s="23"/>
      <c r="G12" s="23"/>
      <c r="H12" s="23"/>
    </row>
    <row r="16" spans="2:18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100</v>
      </c>
      <c r="F4" s="151"/>
      <c r="G4" s="151"/>
      <c r="H4" s="151"/>
      <c r="I4" s="151"/>
      <c r="J4" s="151"/>
      <c r="K4" s="151"/>
    </row>
    <row r="5" spans="2:21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233</v>
      </c>
      <c r="L5" s="152" t="s">
        <v>234</v>
      </c>
      <c r="M5" s="152" t="s">
        <v>235</v>
      </c>
      <c r="N5" s="152" t="s">
        <v>249</v>
      </c>
      <c r="O5" s="159" t="s">
        <v>259</v>
      </c>
      <c r="P5" s="159" t="s">
        <v>250</v>
      </c>
      <c r="Q5" s="159" t="s">
        <v>251</v>
      </c>
      <c r="R5" s="159" t="s">
        <v>252</v>
      </c>
      <c r="S5" s="159" t="s">
        <v>253</v>
      </c>
      <c r="T5" s="159" t="s">
        <v>254</v>
      </c>
      <c r="U5" s="159" t="s">
        <v>255</v>
      </c>
    </row>
    <row r="6" spans="2:21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5" t="s">
        <v>241</v>
      </c>
      <c r="M6" s="155" t="s">
        <v>240</v>
      </c>
      <c r="N6" s="155" t="s">
        <v>258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100</v>
      </c>
      <c r="F4" s="151"/>
      <c r="G4" s="151"/>
      <c r="H4" s="151"/>
      <c r="I4" s="151"/>
      <c r="J4" s="151"/>
      <c r="K4" s="151"/>
      <c r="L4" s="151"/>
    </row>
    <row r="5" spans="2:22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231</v>
      </c>
      <c r="L5" s="154" t="s">
        <v>233</v>
      </c>
      <c r="M5" s="152" t="s">
        <v>234</v>
      </c>
      <c r="N5" s="152" t="s">
        <v>235</v>
      </c>
      <c r="O5" s="152" t="s">
        <v>249</v>
      </c>
      <c r="P5" s="159" t="s">
        <v>259</v>
      </c>
      <c r="Q5" s="159" t="s">
        <v>250</v>
      </c>
      <c r="R5" s="159" t="s">
        <v>251</v>
      </c>
      <c r="S5" s="159" t="s">
        <v>252</v>
      </c>
      <c r="T5" s="159" t="s">
        <v>253</v>
      </c>
      <c r="U5" s="159" t="s">
        <v>254</v>
      </c>
      <c r="V5" s="159" t="s">
        <v>255</v>
      </c>
    </row>
    <row r="6" spans="2:22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6"/>
      <c r="M6" s="155" t="s">
        <v>241</v>
      </c>
      <c r="N6" s="155" t="s">
        <v>240</v>
      </c>
      <c r="O6" s="155" t="s">
        <v>258</v>
      </c>
      <c r="P6" s="155"/>
      <c r="Q6" s="155"/>
      <c r="R6" s="155" t="s">
        <v>351</v>
      </c>
      <c r="S6" s="155" t="s">
        <v>351</v>
      </c>
      <c r="T6" s="155" t="s">
        <v>351</v>
      </c>
      <c r="U6" s="155" t="s">
        <v>351</v>
      </c>
      <c r="V6" s="155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</row>
    <row r="4" spans="2:21" x14ac:dyDescent="0.2">
      <c r="E4" s="151" t="s">
        <v>100</v>
      </c>
    </row>
    <row r="5" spans="2:21" ht="38.2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3" t="s">
        <v>225</v>
      </c>
      <c r="G5" s="158" t="s">
        <v>226</v>
      </c>
      <c r="H5" s="154" t="s">
        <v>227</v>
      </c>
      <c r="I5" s="154" t="s">
        <v>228</v>
      </c>
      <c r="J5" s="154" t="s">
        <v>229</v>
      </c>
      <c r="K5" s="154" t="s">
        <v>230</v>
      </c>
      <c r="L5" s="154" t="s">
        <v>231</v>
      </c>
      <c r="M5" s="154" t="s">
        <v>232</v>
      </c>
      <c r="N5" s="154" t="s">
        <v>233</v>
      </c>
      <c r="O5" s="152" t="s">
        <v>234</v>
      </c>
      <c r="P5" s="152" t="s">
        <v>235</v>
      </c>
      <c r="Q5" s="152" t="s">
        <v>236</v>
      </c>
      <c r="R5" s="152" t="s">
        <v>109</v>
      </c>
      <c r="S5" s="152" t="s">
        <v>110</v>
      </c>
      <c r="T5" s="159" t="s">
        <v>237</v>
      </c>
      <c r="U5" s="160" t="s">
        <v>238</v>
      </c>
    </row>
    <row r="6" spans="2:21" ht="13.5" thickBot="1" x14ac:dyDescent="0.25">
      <c r="B6" s="155" t="s">
        <v>239</v>
      </c>
      <c r="C6" s="155"/>
      <c r="D6" s="155"/>
      <c r="E6" s="156"/>
      <c r="F6" s="156"/>
      <c r="G6" s="155" t="s">
        <v>240</v>
      </c>
      <c r="H6" s="155" t="s">
        <v>77</v>
      </c>
      <c r="I6" s="155" t="s">
        <v>77</v>
      </c>
      <c r="J6" s="155" t="s">
        <v>77</v>
      </c>
      <c r="K6" s="155" t="s">
        <v>77</v>
      </c>
      <c r="L6" s="155" t="s">
        <v>77</v>
      </c>
      <c r="M6" s="155" t="s">
        <v>77</v>
      </c>
      <c r="N6" s="155" t="s">
        <v>77</v>
      </c>
      <c r="O6" s="155" t="s">
        <v>241</v>
      </c>
      <c r="P6" s="155" t="s">
        <v>240</v>
      </c>
      <c r="Q6" s="155" t="s">
        <v>242</v>
      </c>
      <c r="R6" s="155" t="s">
        <v>278</v>
      </c>
      <c r="S6" s="155" t="s">
        <v>243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245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191" t="s">
        <v>111</v>
      </c>
      <c r="C6" s="191" t="s">
        <v>129</v>
      </c>
      <c r="D6" s="226" t="s">
        <v>130</v>
      </c>
      <c r="E6" s="226"/>
      <c r="F6" s="226"/>
      <c r="G6" s="226"/>
    </row>
    <row r="7" spans="2:9" ht="15.75" customHeight="1" x14ac:dyDescent="0.2">
      <c r="B7" s="189" t="str">
        <f>SEC_Processes!D15</f>
        <v>ELE_EX_HC</v>
      </c>
      <c r="C7" s="188" t="s">
        <v>45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45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45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99FA-8D61-47C1-BBA6-824A0E7DE546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352</v>
      </c>
    </row>
    <row r="4" spans="2:15" x14ac:dyDescent="0.2">
      <c r="B4" s="36" t="s">
        <v>353</v>
      </c>
    </row>
    <row r="5" spans="2:15" x14ac:dyDescent="0.2">
      <c r="B5" s="106" t="s">
        <v>354</v>
      </c>
      <c r="C5" s="106" t="s">
        <v>25</v>
      </c>
      <c r="D5" s="106" t="s">
        <v>355</v>
      </c>
      <c r="E5" s="106" t="s">
        <v>163</v>
      </c>
      <c r="F5" s="106" t="s">
        <v>356</v>
      </c>
      <c r="G5" s="106" t="s">
        <v>357</v>
      </c>
      <c r="H5" s="106" t="s">
        <v>358</v>
      </c>
      <c r="I5" s="106" t="s">
        <v>359</v>
      </c>
      <c r="J5" s="106" t="s">
        <v>360</v>
      </c>
      <c r="K5" s="106" t="s">
        <v>361</v>
      </c>
      <c r="L5" s="106" t="s">
        <v>362</v>
      </c>
      <c r="M5" s="106" t="s">
        <v>363</v>
      </c>
      <c r="N5" s="106" t="s">
        <v>364</v>
      </c>
      <c r="O5" s="106" t="s">
        <v>365</v>
      </c>
    </row>
    <row r="6" spans="2:15" x14ac:dyDescent="0.2">
      <c r="B6" s="209"/>
      <c r="C6" s="210" t="s">
        <v>366</v>
      </c>
      <c r="D6" s="211" t="s">
        <v>367</v>
      </c>
      <c r="E6" s="212"/>
      <c r="F6" s="212">
        <v>2</v>
      </c>
      <c r="G6" s="212"/>
      <c r="H6" s="209"/>
      <c r="I6" s="210" t="s">
        <v>368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2026-05-21T09:20:39Z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