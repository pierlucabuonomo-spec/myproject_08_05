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11247410-FD45-4A18-BF99-1813BF9E5B57}" xr6:coauthVersionLast="47" xr6:coauthVersionMax="47" xr10:uidLastSave="{00000000-0000-0000-0000-000000000000}"/>
  <bookViews>
    <workbookView xWindow="-105" yWindow="0" windowWidth="26010" windowHeight="20985" tabRatio="901" activeTab="7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U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<sst xmlns="http://schemas.openxmlformats.org/spreadsheetml/2006/main" count="896" uniqueCount="375">
  <si>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</si>
  <si>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</si>
  <si>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</si>
  <si>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</si>
  <si>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</si>
  <si>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</si>
  <si>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</si>
  <si>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</si>
  <si>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</si>
  <si>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</si>
  <si>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</si>
  <si>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</si>
  <si>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</si>
  <si>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</si>
  <si>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</si>
  <si>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</si>
  <si>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</si>
  <si>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</si>
  <si>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</si>
  <si>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</si>
  <si>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</si>
  <si>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</si>
  <si>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</si>
  <si>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</si>
  <si>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</si>
  <si>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</si>
  <si>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</si>
  <si>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</si>
  <si>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</si>
  <si>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</si>
  <si>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</si>
  <si>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</si>
  <si>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</si>
  <si>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</si>
  <si>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</si>
  <si>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</si>
  <si>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</si>
  <si>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</si>
  <si>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</si>
  <si>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</si>
  <si>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</si>
  <si>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</si>
  <si>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</si>
  <si>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</si>
  <si>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</si>
  <si>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</si>
  <si>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</si>
  <si>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</si>
  <si>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</si>
  <si>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</si>
  <si>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</si>
  <si>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</si>
  <si>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</si>
  <si>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</si>
  <si>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</si>
  <si>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</si>
  <si>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</si>
  <si>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</si>
  <si>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</si>
  <si>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</si>
  <si>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</si>
  <si>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</si>
  <si>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</si>
  <si>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</si>
  <si>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</si>
  <si>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</si>
  <si>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</si>
  <si>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</si>
  <si>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</si>
  <si>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</si>
  <si>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</si>
  <si>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</si>
  <si>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</si>
  <si>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</si>
  <si>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</si>
  <si>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</si>
  <si>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</si>
  <si>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</si>
  <si>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</si>
  <si>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</si>
  <si>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</si>
  <si>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</si>
  <si>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</si>
  <si>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</si>
  <si>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</si>
  <si>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</si>
  <si>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</si>
  <si>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</si>
  <si>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</si>
  <si>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</si>
  <si>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</si>
  <si>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</si>
  <si>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</si>
  <si>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</si>
  <si>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</si>
  <si>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</si>
  <si>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</si>
  <si>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</si>
  <si>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</si>
  <si>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</si>
  <si>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</si>
  <si>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</si>
  <si>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</si>
  <si>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</si>
  <si>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</si>
  <si>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</si>
  <si>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</si>
  <si>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</si>
  <si>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</si>
  <si>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</si>
  <si>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</si>
  <si>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</si>
  <si>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</si>
  <si>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</si>
  <si>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</si>
  <si>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</si>
  <si>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</si>
  <si>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</si>
  <si>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</si>
  <si>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</si>
  <si>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</si>
  <si>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</si>
  <si>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</si>
  <si>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</si>
  <si>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</si>
  <si>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</si>
  <si>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</si>
  <si>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</si>
  <si>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</si>
  <si>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</si>
  <si>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</si>
  <si>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</si>
  <si>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</si>
  <si>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</si>
  <si>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</si>
  <si>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</si>
  <si>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</si>
  <si>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</si>
  <si>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</si>
  <si>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</si>
  <si>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</si>
  <si>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</si>
  <si>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</si>
  <si>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</si>
  <si>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</si>
  <si>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</si>
  <si>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</si>
  <si>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</si>
  <si>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</si>
  <si>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</si>
  <si>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</si>
  <si>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</si>
  <si>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</si>
  <si>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</si>
  <si>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</si>
  <si>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</si>
  <si>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</si>
  <si>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</si>
  <si>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</si>
  <si>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</si>
  <si>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</si>
  <si>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</si>
  <si>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</si>
  <si>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</si>
  <si>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</si>
  <si>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</si>
  <si>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</si>
  <si>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</si>
  <si>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</si>
  <si>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</si>
  <si>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</si>
  <si>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</si>
  <si>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</si>
  <si>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</si>
  <si>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</si>
  <si>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</si>
  <si>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</si>
  <si>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</si>
  <si>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</si>
  <si>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</si>
  <si>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</si>
  <si>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</si>
  <si>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</si>
  <si>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</si>
  <si>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</si>
  <si>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</si>
  <si>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</si>
  <si>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</si>
  <si>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</si>
  <si>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</si>
  <si>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</si>
  <si>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</si>
  <si>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</si>
  <si>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</si>
  <si>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</si>
  <si>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</si>
  <si>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</si>
  <si>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</si>
  <si>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</si>
  <si>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</si>
  <si>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</si>
  <si>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</si>
  <si>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</si>
  <si>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</si>
  <si>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</si>
  <si>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</si>
  <si>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</si>
  <si>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</si>
  <si>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</si>
  <si>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</si>
  <si>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</si>
  <si>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</si>
  <si>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</si>
  <si>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</si>
  <si>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</si>
  <si>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</si>
  <si>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</si>
  <si>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</si>
  <si>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</si>
  <si>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</si>
  <si>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</si>
  <si>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</si>
  <si>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</si>
  <si>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</si>
  <si>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</si>
  <si>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</si>
  <si>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</si>
  <si>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</si>
  <si>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</si>
  <si>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</si>
  <si>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</si>
  <si>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</si>
  <si>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</si>
  <si>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</si>
  <si>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</si>
  <si>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</si>
  <si>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</si>
  <si>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</si>
  <si>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</si>
  <si>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</si>
  <si>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</si>
  <si>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</si>
  <si>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</si>
  <si>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</si>
  <si>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</si>
  <si>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</si>
  <si>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</si>
  <si>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</si>
  <si>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</si>
  <si>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</si>
  <si>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</si>
  <si>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</si>
  <si>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</si>
  <si>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</si>
  <si>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</si>
  <si>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</si>
  <si>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</si>
  <si>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</si>
  <si>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</si>
  <si>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</si>
  <si>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</si>
  <si>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</si>
  <si>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</si>
  <si>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</si>
  <si>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</si>
  <si>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</si>
  <si>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</si>
  <si>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</si>
  <si>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</si>
  <si>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</si>
  <si>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</si>
  <si>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</si>
  <si>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</si>
  <si>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</si>
  <si>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</si>
  <si>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</si>
  <si>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</si>
  <si>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</si>
  <si>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</si>
  <si>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</si>
  <si>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</si>
  <si>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</si>
  <si>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</si>
  <si>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</si>
  <si>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</si>
  <si>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</si>
  <si>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</si>
  <si>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</si>
  <si>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</si>
  <si>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</si>
  <si>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</si>
  <si>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</si>
  <si>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</si>
  <si>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</si>
  <si>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</si>
  <si>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</si>
  <si>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</si>
  <si>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</si>
  <si>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</si>
  <si>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</si>
  <si>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</si>
  <si>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</si>
  <si>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</si>
  <si>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</si>
  <si>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</si>
  <si>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</si>
  <si>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</si>
  <si>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</si>
  <si>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</si>
  <si>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</si>
  <si>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</si>
  <si>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</si>
  <si>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</si>
  <si>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</si>
  <si>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</si>
  <si>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</si>
  <si>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</si>
  <si>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</si>
  <si>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</si>
  <si>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</si>
  <si>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</si>
  <si>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</si>
  <si>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</si>
  <si>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</si>
  <si>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</si>
  <si>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</si>
  <si>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</si>
  <si>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</si>
  <si>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</si>
  <si>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</si>
  <si>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</si>
  <si>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</si>
  <si>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</si>
  <si>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</si>
  <si>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</si>
  <si>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</si>
  <si>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</si>
  <si>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</si>
  <si>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</si>
  <si>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</si>
  <si>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</si>
  <si>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</si>
  <si>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</si>
  <si>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</si>
  <si>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</si>
  <si>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</si>
  <si>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</si>
  <si>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</si>
  <si>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</si>
  <si>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</si>
  <si>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</si>
  <si>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</si>
  <si>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</si>
  <si>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</si>
  <si>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</si>
  <si>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</si>
  <si>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</si>
  <si>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</si>
  <si>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</si>
  <si>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</si>
  <si>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</si>
  <si>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</si>
  <si>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</si>
  <si>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</si>
  <si>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</si>
  <si>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</si>
  <si>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</si>
  <si>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</si>
  <si>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</si>
  <si>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ACT_BND~LO~2040</t>
  </si>
  <si>
    <t>ACT_BND~LO~2045</t>
  </si>
  <si>
    <t>ACT_BND~LO~2050</t>
  </si>
  <si>
    <t>Min distribuzione LV (ACT_BND~LO~2040)</t>
  </si>
  <si>
    <t>Min distribuzione LV (ACT_BND~LO~2045)</t>
  </si>
  <si>
    <t>Min distribuzione LV (ACT_BND~LO~2050)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</si>
</sst>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7" t="s">
        <v>183</v>
      </c>
      <c r="C6" s="220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8"/>
      <c r="C7" s="221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19"/>
      <c r="C8" s="222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5" t="s">
        <v>213</v>
      </c>
      <c r="C27" s="213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6"/>
      <c r="C28" s="214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5" t="s">
        <v>12</v>
      </c>
      <c r="C41" s="213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6"/>
      <c r="C42" s="214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23" t="s">
        <v>48</v>
      </c>
      <c r="C47" s="223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4" t="s">
        <v>82</v>
      </c>
      <c r="C31" s="224"/>
      <c r="D31" s="224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25" t="s">
        <v>300</v>
      </c>
      <c r="J4" s="225"/>
      <c r="K4" s="225"/>
      <c r="L4" s="225"/>
      <c r="M4" s="225"/>
      <c r="N4" s="225"/>
      <c r="O4" s="225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5" t="s">
        <v>116</v>
      </c>
      <c r="I6" s="225"/>
      <c r="J6" s="225"/>
      <c r="K6" s="225"/>
      <c r="L6" s="225"/>
      <c r="M6" s="225"/>
      <c r="N6" s="225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zoomScale="76" zoomScaleNormal="85" workbookViewId="0">
      <selection activeCell="C62" sqref="C62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5" t="s">
        <v>116</v>
      </c>
      <c r="I6" s="225"/>
      <c r="J6" s="225"/>
      <c r="K6" s="225"/>
      <c r="L6" s="225"/>
      <c r="M6" s="225"/>
      <c r="N6" s="225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</v>
      </c>
      <c r="K7" s="139">
        <v>0</v>
      </c>
      <c r="L7" s="139">
        <v>0</v>
      </c>
      <c r="M7" s="139">
        <v>0</v>
      </c>
      <c r="N7" s="139">
        <v>0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7.0000000000000007E-2</v>
      </c>
      <c r="I9" s="139">
        <v>7.0000000000000007E-2</v>
      </c>
      <c r="J9" s="139">
        <v>0</v>
      </c>
      <c r="K9" s="139">
        <v>0</v>
      </c>
      <c r="L9" s="139">
        <v>0</v>
      </c>
      <c r="M9" s="139">
        <v>0</v>
      </c>
      <c r="N9" s="139">
        <v>0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0.2</v>
      </c>
      <c r="I10" s="146">
        <v>0.2</v>
      </c>
      <c r="J10" s="146">
        <v>0</v>
      </c>
      <c r="K10" s="146">
        <v>0</v>
      </c>
      <c r="L10" s="146">
        <v>0</v>
      </c>
      <c r="M10" s="146">
        <v>0</v>
      </c>
      <c r="N10" s="146">
        <v>0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7.1999999999999995E-2</v>
      </c>
      <c r="I13" s="131">
        <v>0.08</v>
      </c>
      <c r="J13" s="131">
        <v>0</v>
      </c>
      <c r="K13" s="131">
        <v>0</v>
      </c>
      <c r="L13" s="131">
        <v>0</v>
      </c>
      <c r="M13" s="131">
        <v>0</v>
      </c>
      <c r="N13" s="131">
        <v>0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0.26300000000000001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U28"/>
  <sheetViews>
    <sheetView tabSelected="1" topLeftCell="G1" zoomScale="90" zoomScaleNormal="110" workbookViewId="0">
      <selection activeCell="S24" sqref="S24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0" width="20.85546875" customWidth="1"/>
    <col min="21" max="21" width="53.28515625" customWidth="1"/>
  </cols>
  <sheetData>
    <row r="2" spans="2:21" ht="18" x14ac:dyDescent="0.25">
      <c r="B2" s="102" t="s">
        <v>125</v>
      </c>
      <c r="C2" s="41"/>
      <c r="E2" s="26"/>
      <c r="F2" s="26"/>
      <c r="G2" s="26"/>
      <c r="H2" s="26"/>
    </row>
    <row r="3" spans="2:21" x14ac:dyDescent="0.2">
      <c r="B3" s="31"/>
      <c r="C3" s="25"/>
      <c r="E3" s="26"/>
      <c r="F3" s="26"/>
      <c r="G3" s="26"/>
      <c r="H3" s="26"/>
    </row>
    <row r="4" spans="2:21" ht="15.75" customHeight="1" x14ac:dyDescent="0.2">
      <c r="E4" s="36" t="s">
        <v>100</v>
      </c>
      <c r="F4" s="36"/>
      <c r="G4" s="36"/>
      <c r="H4" s="36"/>
      <c r="I4" s="34"/>
      <c r="J4" s="34"/>
    </row>
    <row r="5" spans="2:21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133</v>
      </c>
      <c r="R5" s="106" t="s">
        <v>369</v>
      </c>
      <c r="S5" s="106" t="s">
        <v>370</v>
      </c>
      <c r="T5" s="106" t="s">
        <v>371</v>
      </c>
      <c r="U5" s="106" t="s">
        <v>205</v>
      </c>
    </row>
    <row r="6" spans="2:21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  <c r="R6" s="118" t="s">
        <v>372</v>
      </c>
      <c r="S6" s="118" t="s">
        <v>373</v>
      </c>
      <c r="T6" s="118" t="s">
        <v>374</v>
      </c>
    </row>
    <row r="7" spans="2:21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50</v>
      </c>
      <c r="N7">
        <v>30</v>
      </c>
      <c r="P7">
        <v>1</v>
      </c>
      <c r="Q7">
        <v>1</v>
      </c>
      <c r="U7" s="1">
        <f>1-F7</f>
        <v>6.0000000000000053E-2</v>
      </c>
    </row>
    <row r="8" spans="2:21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70</v>
      </c>
      <c r="N8" s="62"/>
      <c r="O8" s="62"/>
      <c r="P8" s="62">
        <v>1</v>
      </c>
      <c r="Q8" s="62">
        <v>1</v>
      </c>
      <c r="R8" s="62"/>
      <c r="S8" s="62"/>
      <c r="T8" s="62"/>
    </row>
    <row r="9" spans="2:21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2:21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150</v>
      </c>
      <c r="N10">
        <v>50</v>
      </c>
      <c r="O10">
        <v>50</v>
      </c>
      <c r="P10">
        <v>1</v>
      </c>
      <c r="Q10">
        <v>1</v>
      </c>
      <c r="R10">
        <v>5</v>
      </c>
      <c r="S10">
        <v>4.2</v>
      </c>
      <c r="T10">
        <v>3.7</v>
      </c>
    </row>
    <row r="11" spans="2:21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 t="s">
        <v>290</v>
      </c>
      <c r="N11" s="207"/>
      <c r="O11" s="207"/>
      <c r="P11" s="207"/>
      <c r="Q11" s="207"/>
      <c r="R11" s="207"/>
      <c r="S11" s="207"/>
      <c r="T11" s="207"/>
    </row>
    <row r="12" spans="2:21" x14ac:dyDescent="0.2">
      <c r="E12" s="23"/>
      <c r="F12" s="23"/>
      <c r="G12" s="23"/>
      <c r="H12" s="23"/>
    </row>
    <row r="16" spans="2:21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6" t="s">
        <v>130</v>
      </c>
      <c r="E6" s="226"/>
      <c r="F6" s="226"/>
      <c r="G6" s="226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09"/>
      <c r="C6" s="210" t="s">
        <v>366</v>
      </c>
      <c r="D6" s="211" t="s">
        <v>367</v>
      </c>
      <c r="E6" s="212"/>
      <c r="F6" s="212">
        <v>2</v>
      </c>
      <c r="G6" s="212"/>
      <c r="H6" s="209"/>
      <c r="I6" s="210" t="s">
        <v>368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2026-05-21T11:32:01Z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