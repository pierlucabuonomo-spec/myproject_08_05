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Objects="placeholders" codeName="Ten_skoroszyt"/>
  <mc:AlternateContent xmlns:mc="http://schemas.openxmlformats.org/markup-compatibility/2006">
    <mc:Choice Requires="x15">
      <x15ac:absPath xmlns:x15ac="http://schemas.microsoft.com/office/spreadsheetml/2010/11/ac" url="C:\Users\labee2\Desktop\PIANIFICAZIONE ENERGETICA\myproject_08_05\"/>
    </mc:Choice>
  </mc:AlternateContent>
  <xr:revisionPtr revIDLastSave="0" documentId="8_{AB92BC33-88A3-48C5-B9DE-C7EAD2B8BDD6}" xr6:coauthVersionLast="47" xr6:coauthVersionMax="47" xr10:uidLastSave="{00000000-0000-0000-0000-000000000000}"/>
  <bookViews>
    <workbookView xWindow="25695" yWindow="0" windowWidth="26010" windowHeight="20985" tabRatio="901" activeTab="12" xr2:uid="{00000000-000D-0000-FFFF-FFFF00000000}"/>
  </bookViews>
  <sheets>
    <sheet name="BALANCE" sheetId="138" r:id="rId1"/>
    <sheet name="TOPOLOGY" sheetId="140" r:id="rId2"/>
    <sheet name="SEC_Comm" sheetId="112" r:id="rId3"/>
    <sheet name="SEC_Processes" sheetId="127" r:id="rId4"/>
    <sheet name="REF" sheetId="144" r:id="rId5"/>
    <sheet name="PP" sheetId="129" r:id="rId6"/>
    <sheet name="RES" sheetId="133" r:id="rId7"/>
    <sheet name="T&amp;D" sheetId="136" r:id="rId8"/>
    <sheet name="IMP" sheetId="143" r:id="rId9"/>
    <sheet name="EXP" sheetId="145" r:id="rId10"/>
    <sheet name="STG" sheetId="142" r:id="rId11"/>
    <sheet name="EMI" sheetId="134" r:id="rId12"/>
    <sheet name="IMPNRGZ_BND" sheetId="146" r:id="rId13"/>
  </sheets>
  <externalReferences>
    <externalReference r:id="rId14"/>
  </externalReferences>
  <definedNames>
    <definedName name="_Order1">0</definedName>
    <definedName name="FID_1">[1]AGR_Fuels!$A$2</definedName>
  </definedName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7" i="129" l="1"/>
  <c r="D17" i="129"/>
  <c r="D8" i="129"/>
  <c r="D7" i="129"/>
  <c r="C14" i="133"/>
  <c r="B14" i="133"/>
  <c r="G17" i="145" l="1"/>
  <c r="C7" i="145"/>
  <c r="B7" i="145"/>
  <c r="D7" i="145"/>
  <c r="C27" i="129"/>
  <c r="C17" i="129"/>
  <c r="B15" i="133"/>
  <c r="B27" i="129"/>
  <c r="B17" i="129"/>
  <c r="E27" i="129"/>
  <c r="E17" i="129"/>
  <c r="E15" i="144"/>
  <c r="B9" i="134"/>
  <c r="E36" i="129"/>
  <c r="E26" i="129"/>
  <c r="T36" i="144" a="1"/>
  <c r="T36" i="144" s="1"/>
  <c r="L45" i="144"/>
  <c r="U36" i="144" a="1"/>
  <c r="U36" i="144" s="1"/>
  <c r="D8" i="136"/>
  <c r="E7" i="136"/>
  <c r="E9" i="136"/>
  <c r="E33" i="144"/>
  <c r="C5" i="144"/>
  <c r="B5" i="144"/>
  <c r="D27" i="136"/>
  <c r="D28" i="136" s="1"/>
  <c r="C10" i="136"/>
  <c r="B10" i="136"/>
  <c r="C13" i="133"/>
  <c r="B13" i="133"/>
  <c r="H7" i="145" l="1"/>
  <c r="I7" i="145"/>
  <c r="V36" i="144" a="1"/>
  <c r="V36" i="144" s="1"/>
  <c r="T45" i="144"/>
  <c r="M5" i="144"/>
  <c r="N5" i="144"/>
  <c r="O5" i="144"/>
  <c r="J5" i="144"/>
  <c r="K5" i="144"/>
  <c r="L5" i="144"/>
  <c r="F6" i="144" l="1"/>
  <c r="F9" i="144"/>
  <c r="F11" i="144"/>
  <c r="F12" i="144"/>
  <c r="F13" i="144"/>
  <c r="F14" i="144"/>
  <c r="F7" i="144"/>
  <c r="F8" i="144"/>
  <c r="F10" i="144"/>
  <c r="C8" i="136"/>
  <c r="B8" i="136"/>
  <c r="K11" i="143"/>
  <c r="K12" i="143" s="1"/>
  <c r="K14" i="143" s="1"/>
  <c r="I12" i="133" l="1"/>
  <c r="E7" i="143" l="1"/>
  <c r="C7" i="143"/>
  <c r="B7" i="143"/>
  <c r="B7" i="142"/>
  <c r="E11" i="133" l="1"/>
  <c r="E10" i="133"/>
  <c r="B11" i="133"/>
  <c r="B10" i="133"/>
  <c r="B9" i="133"/>
  <c r="B8" i="133"/>
  <c r="E43" i="138" l="1"/>
  <c r="C8" i="129"/>
  <c r="B8" i="129"/>
  <c r="E7" i="133" l="1"/>
  <c r="B7" i="133"/>
  <c r="E8" i="133"/>
  <c r="E9" i="133"/>
  <c r="G16" i="138" l="1"/>
  <c r="B8" i="134" l="1"/>
  <c r="D16" i="138" l="1"/>
  <c r="E7" i="129" l="1"/>
  <c r="X7" i="136" l="1"/>
  <c r="E12" i="133" l="1"/>
  <c r="B7" i="134" l="1"/>
  <c r="F8" i="129"/>
  <c r="F7" i="129"/>
  <c r="F16" i="138"/>
  <c r="E16" i="138"/>
  <c r="H8" i="129"/>
  <c r="I8" i="129" s="1"/>
  <c r="H7" i="129"/>
  <c r="I7" i="129" s="1"/>
  <c r="B12" i="133" l="1"/>
  <c r="C7" i="136" l="1"/>
  <c r="B7" i="136"/>
  <c r="E8" i="129"/>
  <c r="D7" i="136"/>
  <c r="C15" i="133"/>
  <c r="C12" i="133"/>
  <c r="C7" i="129"/>
  <c r="B7" i="12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  <author>Maurizio Gargiulo</author>
    <author>Gary Goldstein</author>
  </authors>
  <commentList>
    <comment ref="F5" authorId="0" shapeId="0" xr:uid="{00000000-0006-0000-01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5" authorId="1" shapeId="0" xr:uid="{00000000-0006-0000-01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5" authorId="1" shapeId="0" xr:uid="{00000000-0006-0000-01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5" authorId="1" shapeId="0" xr:uid="{00000000-0006-0000-01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B20" authorId="2" shapeId="0" xr:uid="{38545D7B-0B34-4C58-BC3C-B3DC7C485D11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20" authorId="0" shapeId="0" xr:uid="{2BDD496E-D911-4049-B2E7-781542B2BFCF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20" authorId="1" shapeId="0" xr:uid="{533DFF6B-C59D-4034-BCD1-239277F43BF8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20" authorId="1" shapeId="0" xr:uid="{6C3202B7-6D27-48E0-883E-EABF5BC7862A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20" authorId="1" shapeId="0" xr:uid="{586B15C2-201E-42DA-AAA7-31A116D10BF4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5" authorId="0" shapeId="0" xr:uid="{00000000-0006-0000-0200-000002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1" shapeId="0" xr:uid="{00000000-0006-0000-0200-000003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5" authorId="0" shapeId="0" xr:uid="{00000000-0006-0000-0200-000004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3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  <comment ref="C15" authorId="0" shapeId="0" xr:uid="{FEC38342-FAFB-468E-B86C-E896F94E4F07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  <author>Amit Kanudia</author>
  </authors>
  <commentList>
    <comment ref="C5" authorId="0" shapeId="0" xr:uid="{00000000-0006-0000-04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  <comment ref="B23" authorId="1" shapeId="0" xr:uid="{7273C665-D125-4021-AF42-1A5BC327A0FD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23" authorId="2" shapeId="0" xr:uid="{5865CE48-D736-489B-9B3D-901194742EE5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23" authorId="0" shapeId="0" xr:uid="{48892B49-F287-4C86-8AC1-D987E1737A36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23" authorId="0" shapeId="0" xr:uid="{0958E5C5-CBFE-4BC0-851F-89F20097C5CA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23" authorId="0" shapeId="0" xr:uid="{25B96501-13B9-40CB-AD16-E1C68104B95C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7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<sst xmlns="http://schemas.openxmlformats.org/spreadsheetml/2006/main" count="901" uniqueCount="381">
  <si>
    <t>Moc osiągalna elektryczna netto</t>
  </si>
  <si>
    <t>Produkcja energii elektrycznej netto</t>
  </si>
  <si>
    <t>Produkcja ciepła netto</t>
  </si>
  <si>
    <t>Zużycie paliwa</t>
  </si>
  <si>
    <t>Średnia
wartość
opałowa</t>
  </si>
  <si>
    <t>MW</t>
  </si>
  <si>
    <t>GWh</t>
  </si>
  <si>
    <t>TJ</t>
  </si>
  <si>
    <t>kJ/kg</t>
  </si>
  <si>
    <r>
      <t>mln m</t>
    </r>
    <r>
      <rPr>
        <vertAlign val="superscript"/>
        <sz val="10"/>
        <rFont val="Times New Roman"/>
        <family val="1"/>
        <charset val="238"/>
      </rPr>
      <t>3</t>
    </r>
  </si>
  <si>
    <r>
      <t>kJ/m</t>
    </r>
    <r>
      <rPr>
        <vertAlign val="superscript"/>
        <sz val="10"/>
        <rFont val="Times New Roman"/>
        <family val="1"/>
        <charset val="238"/>
      </rPr>
      <t>3</t>
    </r>
  </si>
  <si>
    <t>1) opracowanie własne na podstawie "Statystyka Elektroenergetyki Polskiej 2020" - Ministerstwo Klimatu i Środowiska, Agencja Rynku Energii S.A., Warszawa 2021.</t>
  </si>
  <si>
    <t>Nośnik energii</t>
  </si>
  <si>
    <t>Przesył i transformacja</t>
  </si>
  <si>
    <t>Sprawność</t>
  </si>
  <si>
    <t>Energia elektryczna</t>
  </si>
  <si>
    <t>Jednostka</t>
  </si>
  <si>
    <t>Zapotrzebowanie końcowe</t>
  </si>
  <si>
    <t>[TWh]</t>
  </si>
  <si>
    <t>Define Commodities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</si>
  <si>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</si>
  <si>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</si>
  <si>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</si>
  <si>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</si>
  <si>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</si>
  <si>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</si>
  <si>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</si>
  <si>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</si>
  <si>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</si>
  <si>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</si>
  <si>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</si>
  <si>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</si>
  <si>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</si>
  <si>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</si>
  <si>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</si>
  <si>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(for CHPs)</t>
  </si>
  <si>
    <t>NRG</t>
  </si>
  <si>
    <t>High Voltage Electricity (&gt;110 kV)</t>
  </si>
  <si>
    <t>PJ</t>
  </si>
  <si>
    <t>DAYNITE</t>
  </si>
  <si>
    <t>ANNUAL</t>
  </si>
  <si>
    <t>ELC</t>
  </si>
  <si>
    <t>Low Voltage Electricity (&lt; 1kV)</t>
  </si>
  <si>
    <t>DEM</t>
  </si>
  <si>
    <t>ENV</t>
  </si>
  <si>
    <t>CO2</t>
  </si>
  <si>
    <t>Carbon Dioxide Emission</t>
  </si>
  <si>
    <t>kt</t>
  </si>
  <si>
    <t>Available Commodity Sets</t>
  </si>
  <si>
    <t>Energy</t>
  </si>
  <si>
    <t>Emission</t>
  </si>
  <si>
    <t>Demand</t>
  </si>
  <si>
    <t>MAT</t>
  </si>
  <si>
    <t>Material</t>
  </si>
  <si>
    <t>FIN</t>
  </si>
  <si>
    <t>Financial</t>
  </si>
  <si>
    <t>Define Processes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</si>
  <si>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</si>
  <si>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</si>
  <si>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</si>
  <si>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</si>
  <si>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</si>
  <si>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</si>
  <si>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</si>
  <si>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</si>
  <si>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</si>
  <si>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</si>
  <si>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\I: Process Set</t>
  </si>
  <si>
    <t>Region Name</t>
  </si>
  <si>
    <t>Technology Name</t>
  </si>
  <si>
    <t>Technology Description</t>
  </si>
  <si>
    <t>Activity Unit</t>
  </si>
  <si>
    <t>Capacity Unit</t>
  </si>
  <si>
    <t>Primary Commodity Group</t>
  </si>
  <si>
    <t>Vintage Tracking</t>
  </si>
  <si>
    <t>ELE</t>
  </si>
  <si>
    <t>Existing Onshore Wind Turbines</t>
  </si>
  <si>
    <t>GW</t>
  </si>
  <si>
    <t>Existing Hard Coal Power Plants</t>
  </si>
  <si>
    <t>CHP</t>
  </si>
  <si>
    <t>HPL</t>
  </si>
  <si>
    <t>PRE</t>
  </si>
  <si>
    <t>Available Process Sets</t>
  </si>
  <si>
    <t>Power Plant (Electricity Only)</t>
  </si>
  <si>
    <t>Combined Heat &amp; Power Plant</t>
  </si>
  <si>
    <t>STG</t>
  </si>
  <si>
    <t>Timeslice Storage</t>
  </si>
  <si>
    <t>Generic Process</t>
  </si>
  <si>
    <t>DMD</t>
  </si>
  <si>
    <t>Demand Process</t>
  </si>
  <si>
    <t>IMP</t>
  </si>
  <si>
    <t>Import</t>
  </si>
  <si>
    <t>Commodity only at Output</t>
  </si>
  <si>
    <t>EXP</t>
  </si>
  <si>
    <t>Eksport</t>
  </si>
  <si>
    <t>Commodity only at Input</t>
  </si>
  <si>
    <t>MIN</t>
  </si>
  <si>
    <t>Mining</t>
  </si>
  <si>
    <t>Heat Only Plant</t>
  </si>
  <si>
    <t>Power Plants</t>
  </si>
  <si>
    <t>~FI_T</t>
  </si>
  <si>
    <t>* TechDesc</t>
  </si>
  <si>
    <t>Comm-IN</t>
  </si>
  <si>
    <t>Comm-OUT</t>
  </si>
  <si>
    <t>EFF</t>
  </si>
  <si>
    <t>CAP2ACT</t>
  </si>
  <si>
    <t>STOCK~2050</t>
  </si>
  <si>
    <t>PEAK</t>
  </si>
  <si>
    <t>AFA</t>
  </si>
  <si>
    <t>FIXOM</t>
  </si>
  <si>
    <t>VAROM</t>
  </si>
  <si>
    <t>\I: Technology Name</t>
  </si>
  <si>
    <t>Commodity Input</t>
  </si>
  <si>
    <t>Commodity Output</t>
  </si>
  <si>
    <t>Efficiency</t>
  </si>
  <si>
    <t>Capacity to Activity Factor</t>
  </si>
  <si>
    <t>Installed Capacity [GW]</t>
  </si>
  <si>
    <t>Peak EQ Factor</t>
  </si>
  <si>
    <t>Annual Availability Factor</t>
  </si>
  <si>
    <t>Fixed O&amp;M Costs [PLN/kW]</t>
  </si>
  <si>
    <t>Variable O&amp;M Costs [PLN/GJ]</t>
  </si>
  <si>
    <t>Renewable Energy Sources</t>
  </si>
  <si>
    <t>*TechDesc</t>
  </si>
  <si>
    <t>WIND-ON</t>
  </si>
  <si>
    <t>SOLAR</t>
  </si>
  <si>
    <t>Transformation and Distribution Networks</t>
  </si>
  <si>
    <t>Emission factor per chemical energy unit of fuel</t>
  </si>
  <si>
    <t>~PRCCOMEMI</t>
  </si>
  <si>
    <t>&lt;- Fuel Name as Column Header</t>
  </si>
  <si>
    <t>Commodity Name (Pollutant)</t>
  </si>
  <si>
    <t>Emission factor [kt/PJ]</t>
  </si>
  <si>
    <t>STOCK~2025</t>
  </si>
  <si>
    <t>STOCK~2030</t>
  </si>
  <si>
    <t>STOCK~2035</t>
  </si>
  <si>
    <t>STOCK~2040</t>
  </si>
  <si>
    <t>STOCK~2045</t>
  </si>
  <si>
    <t>Generation unit type</t>
  </si>
  <si>
    <t>Net Electric Power</t>
  </si>
  <si>
    <t>Net electricity generation</t>
  </si>
  <si>
    <t>Net heat generation</t>
  </si>
  <si>
    <t>Fuel used</t>
  </si>
  <si>
    <t>Average lower heating valuee</t>
  </si>
  <si>
    <t>Onshore Wind Turbines</t>
  </si>
  <si>
    <t>Large Scale Photovoltaics</t>
  </si>
  <si>
    <t>Total</t>
  </si>
  <si>
    <t>Source / Źródło:</t>
  </si>
  <si>
    <t>Energy carrier</t>
  </si>
  <si>
    <t>Electricity</t>
  </si>
  <si>
    <t>SN-nn | MV-LV</t>
  </si>
  <si>
    <t>Transmission and distribution</t>
  </si>
  <si>
    <t>Tabela 2: Sprawności przesyłu i transformacji nośników energii w sieci w 2020 r.</t>
  </si>
  <si>
    <t>Tabela 2: Efficiency of Transmission and distribution of energy carriers in 2020</t>
  </si>
  <si>
    <t>Final energy demand</t>
  </si>
  <si>
    <t>ELEC_HV</t>
  </si>
  <si>
    <t>ELEC_LV</t>
  </si>
  <si>
    <t>ELE_EX_WIND-ON</t>
  </si>
  <si>
    <t>ELE_EX_PV</t>
  </si>
  <si>
    <t>ELE_EX_HC</t>
  </si>
  <si>
    <t>* Energy Balance / Bilans energii</t>
  </si>
  <si>
    <t>* Final Energy Demand / Popyt na energię finalną</t>
  </si>
  <si>
    <t>2) opracowanie własne na podstawie "Energetyka Cieplna w Liczbach 2021" - Urząd Regulacji Energetyki, Warszawa 2022.</t>
  </si>
  <si>
    <t>3) EUROSTAT NRG_BAL, NRG_BAL_PEH.</t>
  </si>
  <si>
    <t>Shoud have commodity of type DEM on Output</t>
  </si>
  <si>
    <t>Year</t>
  </si>
  <si>
    <t>Alternative Syntax - one process</t>
  </si>
  <si>
    <t>Limit type [(in)equality sing]</t>
  </si>
  <si>
    <t>STOCK</t>
  </si>
  <si>
    <t>FX</t>
  </si>
  <si>
    <t>WN-WN | HV-HV</t>
  </si>
  <si>
    <t>WN-SN | HV-MV</t>
  </si>
  <si>
    <t>* Transmission &amp; Distribution Losses / Straty przesyłu i dystrybucji</t>
  </si>
  <si>
    <t>Onshore Wind Energy</t>
  </si>
  <si>
    <t>Solar Energy</t>
  </si>
  <si>
    <t>Copy from SUP</t>
  </si>
  <si>
    <t>No tag - won't be read by Veda</t>
  </si>
  <si>
    <t>Syngas_Res</t>
  </si>
  <si>
    <t>BIOMASS</t>
  </si>
  <si>
    <t>Biomass</t>
  </si>
  <si>
    <t>HIDRO</t>
  </si>
  <si>
    <t>Hidro pump</t>
  </si>
  <si>
    <t>Hidro run of river</t>
  </si>
  <si>
    <t>1) energy balance Sardinia Region</t>
  </si>
  <si>
    <t>2) study based on data from Terna, the minister's oil bulletins, Istat and the GSE and RSE report (2023)</t>
  </si>
  <si>
    <t>Type of generating unit</t>
  </si>
  <si>
    <t>Together</t>
  </si>
  <si>
    <t>Source:</t>
  </si>
  <si>
    <t>Syngas fired Electicity only power plant</t>
  </si>
  <si>
    <t>Hard coal fired Electricity only power plant</t>
  </si>
  <si>
    <t>Biomass fired Heat only plants</t>
  </si>
  <si>
    <t>Hidro pump only power plant</t>
  </si>
  <si>
    <t xml:space="preserve">Hidro run of river </t>
  </si>
  <si>
    <t>Table 1: Simple energy balance of Sardinia energy system in 2023</t>
  </si>
  <si>
    <t>HIDRO_RUN</t>
  </si>
  <si>
    <t>SAR</t>
  </si>
  <si>
    <t>ELE_EX_OILGAS</t>
  </si>
  <si>
    <t>Existing Syngas Power Plants</t>
  </si>
  <si>
    <t>ELE_EX_BIOMASS</t>
  </si>
  <si>
    <t>Existing Biomass Power Plants</t>
  </si>
  <si>
    <t>ELE_EX_HIDRO</t>
  </si>
  <si>
    <t>Existing Hidro pump Power Plants</t>
  </si>
  <si>
    <t>ELE_EX_HIDRO_RUN</t>
  </si>
  <si>
    <t>Existing Hidro River on Run Power Plants</t>
  </si>
  <si>
    <t>STOCK~2023</t>
  </si>
  <si>
    <t>Fixed O&amp;M Costs [EUR/kW]</t>
  </si>
  <si>
    <t>OILGAS</t>
  </si>
  <si>
    <t>LOSSES</t>
  </si>
  <si>
    <t>Exiting Hidro turbines Run of river</t>
  </si>
  <si>
    <t>Existing Hidro pump system</t>
  </si>
  <si>
    <t>Variable O&amp;M Costs [EUR/GJ]</t>
  </si>
  <si>
    <t>Existing Biomass power plant</t>
  </si>
  <si>
    <t>STOCK~2023~2024</t>
  </si>
  <si>
    <t>AFA~2025</t>
  </si>
  <si>
    <t>Table 3: Final energy demand in 2023</t>
  </si>
  <si>
    <t xml:space="preserve">Energy </t>
  </si>
  <si>
    <t>Hidro</t>
  </si>
  <si>
    <t>Hidro_Run</t>
  </si>
  <si>
    <t>Biomass power plant1</t>
  </si>
  <si>
    <t>Oil waste power plant1</t>
  </si>
  <si>
    <t>Hard coal-fired power plant1</t>
  </si>
  <si>
    <t>Wind On Shore power plants</t>
  </si>
  <si>
    <t>Solar power plants</t>
  </si>
  <si>
    <t>ELE_EX_OTHER</t>
  </si>
  <si>
    <t>Existing Other</t>
  </si>
  <si>
    <t>OTHER</t>
  </si>
  <si>
    <t>Magazyny energii | Energy storage</t>
  </si>
  <si>
    <t>Comm-OUT-A</t>
  </si>
  <si>
    <t>S_EFF</t>
  </si>
  <si>
    <t>Stock~2020</t>
  </si>
  <si>
    <t>Stock~2025</t>
  </si>
  <si>
    <t>Stock~2030</t>
  </si>
  <si>
    <t>Stock~2035</t>
  </si>
  <si>
    <t>Stock~2040</t>
  </si>
  <si>
    <t>Stock~2045</t>
  </si>
  <si>
    <t>Stock~2050</t>
  </si>
  <si>
    <t>Cap2Act</t>
  </si>
  <si>
    <t>Peak</t>
  </si>
  <si>
    <t>LIFE</t>
  </si>
  <si>
    <t>CommGrp</t>
  </si>
  <si>
    <t>NCAP_AFC~DAYNITE</t>
  </si>
  <si>
    <t>\I:</t>
  </si>
  <si>
    <t>%</t>
  </si>
  <si>
    <t>PJ/GW</t>
  </si>
  <si>
    <t>YEAR</t>
  </si>
  <si>
    <t>zl/GJ</t>
  </si>
  <si>
    <t>Existing Pumped Storage Capacity</t>
  </si>
  <si>
    <t>ACT</t>
  </si>
  <si>
    <t>STS</t>
  </si>
  <si>
    <t>Existing Hidro pump Storage Capacity</t>
  </si>
  <si>
    <t>Stock~2020~2050</t>
  </si>
  <si>
    <t>COST</t>
  </si>
  <si>
    <t>ACT_BND~2025</t>
  </si>
  <si>
    <t>ACT_BND~2030</t>
  </si>
  <si>
    <t>ACT_BND~2035</t>
  </si>
  <si>
    <t>ACT_BND~2040</t>
  </si>
  <si>
    <t>ACT_BND~2045</t>
  </si>
  <si>
    <t>ACT_BND~2050</t>
  </si>
  <si>
    <t>IMP_ELC_HV</t>
  </si>
  <si>
    <t>Import of Electricity</t>
  </si>
  <si>
    <t>EUR/GJ</t>
  </si>
  <si>
    <t>ACT_BND~2023</t>
  </si>
  <si>
    <t>ELE_EX_HIDRO_STORAGE_PUMP</t>
  </si>
  <si>
    <t>EXP_ELC_HV</t>
  </si>
  <si>
    <t>Export of Electicity</t>
  </si>
  <si>
    <t>Stock</t>
  </si>
  <si>
    <t>Stock~2023</t>
  </si>
  <si>
    <t>annual limit</t>
  </si>
  <si>
    <t>PJ/a</t>
  </si>
  <si>
    <t>TWh/a</t>
  </si>
  <si>
    <t>ADA</t>
  </si>
  <si>
    <t>maximum import in reality</t>
  </si>
  <si>
    <t>Variable cost EUR/GJ</t>
  </si>
  <si>
    <t>TRANSF_HV-MV</t>
  </si>
  <si>
    <t>Electricity Transformation and Distribution High Voltage to Medium Voltage</t>
  </si>
  <si>
    <t>TRANSF_MV-LV</t>
  </si>
  <si>
    <t>Electricity Transformation and Distribution Medium Voltage to Low Voltage</t>
  </si>
  <si>
    <t>ELEC_MV</t>
  </si>
  <si>
    <t>Medium voltage Electricity (20 -60 kV)</t>
  </si>
  <si>
    <t>Investiment Cost MEUR/GW</t>
  </si>
  <si>
    <t>EUR/kW</t>
  </si>
  <si>
    <t>INSERT DEMAND FOR SECTOR</t>
  </si>
  <si>
    <t>MIN_EX_PV</t>
  </si>
  <si>
    <t>MIN_EX_WIND-ON</t>
  </si>
  <si>
    <t>Solar Energy Mine</t>
  </si>
  <si>
    <t>Wind-On Energy Mine</t>
  </si>
  <si>
    <t>MIN_EX_AUTOPR_PV</t>
  </si>
  <si>
    <t>ELE_EX_AUTOPR_PV</t>
  </si>
  <si>
    <t>Existing autoproducer PV Elecrticity</t>
  </si>
  <si>
    <t xml:space="preserve">Autoproducer PV Electicity </t>
  </si>
  <si>
    <t>Electricity distribution to Low Voltage</t>
  </si>
  <si>
    <t>DISTRIBU_LV</t>
  </si>
  <si>
    <t>ELEC_LV_DIST</t>
  </si>
  <si>
    <t>Distribution Low Voltage Electricity (&lt; 1kV)</t>
  </si>
  <si>
    <t>REFINARY</t>
  </si>
  <si>
    <t>Refinary</t>
  </si>
  <si>
    <t>CEFF</t>
  </si>
  <si>
    <t>Commodity Specific Efficiency</t>
  </si>
  <si>
    <t>CRUDE_OIL</t>
  </si>
  <si>
    <t>DIESEL</t>
  </si>
  <si>
    <t>GASOLINE</t>
  </si>
  <si>
    <t>crude</t>
  </si>
  <si>
    <t>Installed Capacity [PJ/a]</t>
  </si>
  <si>
    <t>t/a</t>
  </si>
  <si>
    <t>OGL</t>
  </si>
  <si>
    <t>FUEL_OIL</t>
  </si>
  <si>
    <t>Share-O</t>
  </si>
  <si>
    <t>SOLID</t>
  </si>
  <si>
    <t>ELEC_LV_GRID</t>
  </si>
  <si>
    <t>Grid low voltage</t>
  </si>
  <si>
    <t>ELEC_MV_GRID</t>
  </si>
  <si>
    <t>Oil Gas liquid</t>
  </si>
  <si>
    <t>Gasoline</t>
  </si>
  <si>
    <t>Jet fuel</t>
  </si>
  <si>
    <t>Diesel</t>
  </si>
  <si>
    <t>Oil fuel</t>
  </si>
  <si>
    <t>Lubricants</t>
  </si>
  <si>
    <t>Bitumen</t>
  </si>
  <si>
    <t>waste</t>
  </si>
  <si>
    <t>ethy and prop</t>
  </si>
  <si>
    <t>PCI (GJ/t)</t>
  </si>
  <si>
    <t>crude oil</t>
  </si>
  <si>
    <t>raffinery products</t>
  </si>
  <si>
    <t>CRUDE OIL</t>
  </si>
  <si>
    <t>Grid medium voltage</t>
  </si>
  <si>
    <t>Sardinia exp TWh</t>
  </si>
  <si>
    <t>TWh</t>
  </si>
  <si>
    <t>Jet_Fuel</t>
  </si>
  <si>
    <t>Ethy_and_Prop</t>
  </si>
  <si>
    <t>AFA~2023~FX</t>
  </si>
  <si>
    <t>NLG</t>
  </si>
  <si>
    <t>INVCOST~2025</t>
  </si>
  <si>
    <t>INVCOST~2030</t>
  </si>
  <si>
    <t>Solid Fuels</t>
  </si>
  <si>
    <t xml:space="preserve">Oil </t>
  </si>
  <si>
    <t>OilGasLiquid</t>
  </si>
  <si>
    <t>Jet Fuel</t>
  </si>
  <si>
    <t>Ethy and Prop</t>
  </si>
  <si>
    <t>Natural Liquid Gas</t>
  </si>
  <si>
    <t>HIDRO_STG_PUMP</t>
  </si>
  <si>
    <t>Hidro storage pump</t>
  </si>
  <si>
    <t>BIOGAS</t>
  </si>
  <si>
    <t>FUEL</t>
  </si>
  <si>
    <t>Fuel for engine</t>
  </si>
  <si>
    <t>HIDROGEN</t>
  </si>
  <si>
    <t>Hidrogen</t>
  </si>
  <si>
    <t>ELE_EX_AUTOPR_PV_RES</t>
  </si>
  <si>
    <t>Existing autoproducer residential PV Elecrticity</t>
  </si>
  <si>
    <t>Existing Photovoltaics</t>
  </si>
  <si>
    <t>INVCOST~2035</t>
  </si>
  <si>
    <t>INVCOST~2040</t>
  </si>
  <si>
    <t>INVCOST~2045</t>
  </si>
  <si>
    <t>INVCOST~2050</t>
  </si>
  <si>
    <t>PJ/ANNO</t>
  </si>
  <si>
    <t>Limite attività IMPNRGZ - forza uso catena T&amp;D reale</t>
  </si>
  <si>
    <t>~TFM_UPD</t>
  </si>
  <si>
    <t>TimeSlice</t>
  </si>
  <si>
    <t>Attribute</t>
  </si>
  <si>
    <t>AllRegions</t>
  </si>
  <si>
    <t>PL</t>
  </si>
  <si>
    <t>Pset_Set</t>
  </si>
  <si>
    <t>Pset_PN</t>
  </si>
  <si>
    <t>Pset_PD</t>
  </si>
  <si>
    <t>Pset_CI</t>
  </si>
  <si>
    <t>Pset_CO</t>
  </si>
  <si>
    <t>Cset_Set</t>
  </si>
  <si>
    <t>Cset_CN</t>
  </si>
  <si>
    <t>Cset_CD</t>
  </si>
  <si>
    <t>UP</t>
  </si>
  <si>
    <t>ACT_BND</t>
  </si>
  <si>
    <t>IMPNRGZ</t>
  </si>
  <si>
    <t>ACT_BND~LO~2040</t>
  </si>
  <si>
    <t>ACT_BND~LO~2045</t>
  </si>
  <si>
    <t>ACT_BND~LO~2050</t>
  </si>
  <si>
    <t>Min distribuzione LV (ACT_BND~LO~2040)</t>
  </si>
  <si>
    <t>Min distribuzione LV (ACT_BND~LO~2045)</t>
  </si>
  <si>
    <t>Min distribuzione LV (ACT_BND~LO~2050)</t>
  </si>
  <si>
    <t>NCAP_BND~LO~2040</t>
  </si>
  <si>
    <t>NCAP_BND~LO~2045</t>
  </si>
  <si>
    <t>NCAP_BND~LO~2050</t>
  </si>
  <si>
    <t>Capacità minima T&amp;D 1 GW (NCAP_BND~LO~2040)</t>
  </si>
  <si>
    <t>Capacità minima T&amp;D 1 GW (NCAP_BND~LO~2045)</t>
  </si>
  <si>
    <t>Capacità minima T&amp;D 1 GW (NCAP_BND~LO~2050)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</si>
</sst>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\Te\x\t"/>
    <numFmt numFmtId="167" formatCode="#,##0___)"/>
    <numFmt numFmtId="168" formatCode="#,##0.000___)"/>
  </numFmts>
  <fonts count="46" x14ac:knownFonts="1">
    <font>
      <sz val="10"/>
      <name val="Arial"/>
    </font>
    <font>
      <sz val="11"/>
      <color theme="1"/>
      <name val="Calibri"/>
      <family val="2"/>
      <charset val="238"/>
      <scheme val="minor"/>
    </font>
    <font>
      <b/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sz val="8"/>
      <color indexed="10"/>
      <name val="Arial"/>
      <family val="2"/>
    </font>
    <font>
      <sz val="12"/>
      <color indexed="53"/>
      <name val="Arial"/>
      <family val="2"/>
    </font>
    <font>
      <b/>
      <sz val="8"/>
      <color indexed="81"/>
      <name val="Tahoma"/>
      <family val="2"/>
    </font>
    <font>
      <sz val="12"/>
      <color indexed="56"/>
      <name val="Arial"/>
      <family val="2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0"/>
      <name val="Arial"/>
      <family val="2"/>
      <charset val="238"/>
    </font>
    <font>
      <sz val="8"/>
      <name val="Arial"/>
      <family val="2"/>
      <charset val="238"/>
    </font>
    <font>
      <sz val="9"/>
      <name val="Arial"/>
      <family val="2"/>
      <charset val="238"/>
    </font>
    <font>
      <sz val="9"/>
      <color indexed="9"/>
      <name val="Arial"/>
      <family val="2"/>
      <charset val="238"/>
    </font>
    <font>
      <b/>
      <sz val="9"/>
      <color indexed="12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14"/>
      <name val="Times New Roman"/>
      <family val="1"/>
      <charset val="238"/>
    </font>
    <font>
      <sz val="12"/>
      <name val="Times New Roman"/>
      <family val="1"/>
      <charset val="238"/>
    </font>
    <font>
      <b/>
      <sz val="10"/>
      <name val="Times New Roman"/>
      <family val="1"/>
      <charset val="238"/>
    </font>
    <font>
      <sz val="12"/>
      <color indexed="9"/>
      <name val="Arial"/>
      <family val="2"/>
      <charset val="238"/>
    </font>
    <font>
      <vertAlign val="superscript"/>
      <sz val="10"/>
      <name val="Times New Roman"/>
      <family val="1"/>
      <charset val="238"/>
    </font>
    <font>
      <sz val="10"/>
      <name val="Times New Roman"/>
      <family val="1"/>
      <charset val="238"/>
    </font>
    <font>
      <sz val="10"/>
      <color theme="0"/>
      <name val="Arial"/>
      <family val="2"/>
      <charset val="238"/>
    </font>
    <font>
      <b/>
      <sz val="12"/>
      <color indexed="9"/>
      <name val="Arial"/>
      <family val="2"/>
      <charset val="238"/>
    </font>
    <font>
      <sz val="8"/>
      <name val="Times New Roman"/>
      <family val="1"/>
      <charset val="238"/>
    </font>
    <font>
      <sz val="10"/>
      <name val="Arial"/>
      <family val="2"/>
      <charset val="238"/>
    </font>
    <font>
      <sz val="10"/>
      <color rgb="FF000000"/>
      <name val="Arial"/>
      <family val="2"/>
      <charset val="238"/>
    </font>
    <font>
      <sz val="10"/>
      <color rgb="FFFF0000"/>
      <name val="Times New Roman"/>
      <family val="1"/>
      <charset val="238"/>
    </font>
    <font>
      <sz val="9"/>
      <color rgb="FFFF0000"/>
      <name val="Arial"/>
      <family val="2"/>
      <charset val="238"/>
    </font>
    <font>
      <sz val="9"/>
      <color theme="1"/>
      <name val="Arial"/>
      <family val="2"/>
      <charset val="238"/>
    </font>
    <font>
      <sz val="10"/>
      <color theme="1"/>
      <name val="Times New Roman"/>
      <family val="1"/>
      <charset val="238"/>
    </font>
    <font>
      <sz val="10"/>
      <color theme="1"/>
      <name val="Arial"/>
      <family val="2"/>
    </font>
    <font>
      <b/>
      <sz val="14"/>
      <color indexed="9"/>
      <name val="Arial"/>
      <family val="2"/>
      <charset val="238"/>
    </font>
    <font>
      <b/>
      <sz val="10"/>
      <color rgb="FF010000"/>
      <name val="Arial"/>
      <family val="2"/>
      <charset val="238"/>
    </font>
    <font>
      <sz val="8"/>
      <name val="Arial"/>
      <family val="2"/>
    </font>
    <font>
      <u/>
      <sz val="10"/>
      <name val="Arial"/>
      <family val="2"/>
    </font>
    <font>
      <u/>
      <sz val="10"/>
      <name val="Arial"/>
      <family val="2"/>
      <charset val="238"/>
    </font>
    <font>
      <sz val="8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1"/>
        <bgColor rgb="FF00000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medium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9">
    <xf numFmtId="0" fontId="0" fillId="0" borderId="0"/>
    <xf numFmtId="0" fontId="4" fillId="0" borderId="0"/>
    <xf numFmtId="0" fontId="4" fillId="0" borderId="0"/>
    <xf numFmtId="0" fontId="4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23" fillId="0" borderId="0"/>
    <xf numFmtId="9" fontId="33" fillId="0" borderId="0" applyFont="0" applyFill="0" applyBorder="0" applyAlignment="0" applyProtection="0"/>
    <xf numFmtId="0" fontId="24" fillId="0" borderId="0"/>
    <xf numFmtId="0" fontId="25" fillId="0" borderId="0"/>
    <xf numFmtId="0" fontId="16" fillId="0" borderId="0"/>
    <xf numFmtId="0" fontId="1" fillId="0" borderId="0"/>
    <xf numFmtId="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4" fillId="0" borderId="0"/>
  </cellStyleXfs>
  <cellXfs count="227">
    <xf numFmtId="0" fontId="0" fillId="0" borderId="0" xfId="0"/>
    <xf numFmtId="10" fontId="0" fillId="0" borderId="0" xfId="8" applyNumberFormat="1" applyFont="1"/>
    <xf numFmtId="9" fontId="0" fillId="0" borderId="0" xfId="8" applyFont="1"/>
    <xf numFmtId="0" fontId="16" fillId="8" borderId="7" xfId="0" applyFont="1" applyFill="1" applyBorder="1"/>
    <xf numFmtId="2" fontId="16" fillId="9" borderId="0" xfId="0" applyNumberFormat="1" applyFont="1" applyFill="1"/>
    <xf numFmtId="164" fontId="16" fillId="8" borderId="0" xfId="0" applyNumberFormat="1" applyFont="1" applyFill="1"/>
    <xf numFmtId="165" fontId="16" fillId="8" borderId="0" xfId="0" applyNumberFormat="1" applyFont="1" applyFill="1"/>
    <xf numFmtId="0" fontId="16" fillId="8" borderId="0" xfId="0" applyFont="1" applyFill="1"/>
    <xf numFmtId="164" fontId="16" fillId="9" borderId="0" xfId="0" applyNumberFormat="1" applyFont="1" applyFill="1"/>
    <xf numFmtId="0" fontId="16" fillId="9" borderId="0" xfId="0" applyFont="1" applyFill="1"/>
    <xf numFmtId="2" fontId="16" fillId="8" borderId="26" xfId="0" applyNumberFormat="1" applyFont="1" applyFill="1" applyBorder="1"/>
    <xf numFmtId="164" fontId="16" fillId="8" borderId="26" xfId="0" applyNumberFormat="1" applyFont="1" applyFill="1" applyBorder="1"/>
    <xf numFmtId="0" fontId="16" fillId="8" borderId="26" xfId="0" applyFont="1" applyFill="1" applyBorder="1"/>
    <xf numFmtId="166" fontId="16" fillId="12" borderId="25" xfId="1" applyNumberFormat="1" applyFont="1" applyFill="1" applyBorder="1" applyAlignment="1">
      <alignment vertical="center" wrapText="1"/>
    </xf>
    <xf numFmtId="0" fontId="16" fillId="12" borderId="25" xfId="0" applyFont="1" applyFill="1" applyBorder="1" applyAlignment="1">
      <alignment horizontal="center" vertical="center" wrapText="1"/>
    </xf>
    <xf numFmtId="166" fontId="16" fillId="12" borderId="25" xfId="1" applyNumberFormat="1" applyFont="1" applyFill="1" applyBorder="1" applyAlignment="1">
      <alignment horizontal="center" vertical="center" wrapText="1"/>
    </xf>
    <xf numFmtId="166" fontId="21" fillId="11" borderId="24" xfId="0" applyNumberFormat="1" applyFont="1" applyFill="1" applyBorder="1" applyAlignment="1">
      <alignment horizontal="center" vertical="center" wrapText="1"/>
    </xf>
    <xf numFmtId="0" fontId="21" fillId="11" borderId="24" xfId="0" applyFont="1" applyFill="1" applyBorder="1" applyAlignment="1">
      <alignment horizontal="center" vertical="center"/>
    </xf>
    <xf numFmtId="166" fontId="21" fillId="11" borderId="24" xfId="0" applyNumberFormat="1" applyFont="1" applyFill="1" applyBorder="1" applyAlignment="1">
      <alignment horizontal="center" vertical="center"/>
    </xf>
    <xf numFmtId="166" fontId="4" fillId="3" borderId="4" xfId="1" applyNumberFormat="1" applyFill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/>
    </xf>
    <xf numFmtId="0" fontId="22" fillId="0" borderId="0" xfId="0" applyFont="1"/>
    <xf numFmtId="0" fontId="16" fillId="0" borderId="0" xfId="0" applyFont="1"/>
    <xf numFmtId="0" fontId="4" fillId="0" borderId="0" xfId="0" applyFont="1"/>
    <xf numFmtId="0" fontId="5" fillId="0" borderId="0" xfId="0" applyFont="1" applyAlignment="1">
      <alignment horizontal="left" wrapText="1"/>
    </xf>
    <xf numFmtId="0" fontId="6" fillId="0" borderId="0" xfId="0" applyFont="1"/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right"/>
    </xf>
    <xf numFmtId="0" fontId="9" fillId="0" borderId="0" xfId="0" applyFont="1"/>
    <xf numFmtId="0" fontId="7" fillId="0" borderId="0" xfId="0" applyFont="1" applyAlignment="1">
      <alignment horizontal="right"/>
    </xf>
    <xf numFmtId="0" fontId="11" fillId="0" borderId="0" xfId="0" applyFont="1"/>
    <xf numFmtId="0" fontId="4" fillId="0" borderId="0" xfId="3"/>
    <xf numFmtId="0" fontId="4" fillId="0" borderId="0" xfId="3" applyAlignment="1">
      <alignment horizontal="right"/>
    </xf>
    <xf numFmtId="0" fontId="6" fillId="0" borderId="0" xfId="3" applyFont="1" applyAlignment="1">
      <alignment horizontal="left"/>
    </xf>
    <xf numFmtId="0" fontId="7" fillId="0" borderId="0" xfId="3" applyFont="1" applyAlignment="1">
      <alignment horizontal="right"/>
    </xf>
    <xf numFmtId="0" fontId="20" fillId="0" borderId="5" xfId="0" applyFont="1" applyBorder="1" applyAlignment="1">
      <alignment horizontal="left"/>
    </xf>
    <xf numFmtId="0" fontId="19" fillId="4" borderId="0" xfId="0" applyFont="1" applyFill="1"/>
    <xf numFmtId="0" fontId="18" fillId="0" borderId="0" xfId="0" applyFont="1"/>
    <xf numFmtId="166" fontId="3" fillId="4" borderId="0" xfId="0" applyNumberFormat="1" applyFont="1" applyFill="1"/>
    <xf numFmtId="166" fontId="4" fillId="0" borderId="0" xfId="0" applyNumberFormat="1" applyFont="1"/>
    <xf numFmtId="166" fontId="6" fillId="0" borderId="0" xfId="0" applyNumberFormat="1" applyFont="1"/>
    <xf numFmtId="166" fontId="0" fillId="0" borderId="0" xfId="0" applyNumberFormat="1"/>
    <xf numFmtId="0" fontId="0" fillId="5" borderId="0" xfId="0" applyFill="1"/>
    <xf numFmtId="0" fontId="4" fillId="5" borderId="0" xfId="0" applyFont="1" applyFill="1"/>
    <xf numFmtId="164" fontId="4" fillId="5" borderId="0" xfId="0" applyNumberFormat="1" applyFont="1" applyFill="1"/>
    <xf numFmtId="166" fontId="0" fillId="5" borderId="0" xfId="0" applyNumberFormat="1" applyFill="1"/>
    <xf numFmtId="166" fontId="16" fillId="5" borderId="0" xfId="0" applyNumberFormat="1" applyFont="1" applyFill="1"/>
    <xf numFmtId="165" fontId="0" fillId="0" borderId="0" xfId="0" applyNumberFormat="1"/>
    <xf numFmtId="0" fontId="13" fillId="0" borderId="0" xfId="2" applyFont="1" applyAlignment="1">
      <alignment horizontal="center"/>
    </xf>
    <xf numFmtId="0" fontId="17" fillId="0" borderId="0" xfId="0" applyFont="1" applyAlignment="1">
      <alignment wrapText="1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/>
    </xf>
    <xf numFmtId="167" fontId="16" fillId="0" borderId="0" xfId="9" applyNumberFormat="1" applyFont="1" applyAlignment="1">
      <alignment horizontal="right" vertical="center"/>
    </xf>
    <xf numFmtId="167" fontId="16" fillId="0" borderId="0" xfId="9" applyNumberFormat="1" applyFont="1" applyAlignment="1">
      <alignment horizontal="center" vertical="center"/>
    </xf>
    <xf numFmtId="2" fontId="16" fillId="0" borderId="0" xfId="0" applyNumberFormat="1" applyFont="1"/>
    <xf numFmtId="2" fontId="0" fillId="0" borderId="0" xfId="0" applyNumberFormat="1"/>
    <xf numFmtId="0" fontId="27" fillId="4" borderId="0" xfId="0" quotePrefix="1" applyFont="1" applyFill="1" applyAlignment="1">
      <alignment horizontal="left"/>
    </xf>
    <xf numFmtId="0" fontId="20" fillId="0" borderId="0" xfId="0" applyFont="1" applyAlignment="1">
      <alignment horizontal="left"/>
    </xf>
    <xf numFmtId="0" fontId="4" fillId="7" borderId="0" xfId="0" applyFont="1" applyFill="1"/>
    <xf numFmtId="0" fontId="0" fillId="7" borderId="0" xfId="0" applyFill="1"/>
    <xf numFmtId="0" fontId="4" fillId="7" borderId="6" xfId="0" applyFont="1" applyFill="1" applyBorder="1"/>
    <xf numFmtId="0" fontId="16" fillId="7" borderId="6" xfId="0" applyFont="1" applyFill="1" applyBorder="1"/>
    <xf numFmtId="166" fontId="0" fillId="7" borderId="0" xfId="0" applyNumberFormat="1" applyFill="1"/>
    <xf numFmtId="166" fontId="16" fillId="7" borderId="0" xfId="0" applyNumberFormat="1" applyFont="1" applyFill="1"/>
    <xf numFmtId="167" fontId="29" fillId="0" borderId="1" xfId="9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center"/>
    </xf>
    <xf numFmtId="0" fontId="29" fillId="0" borderId="0" xfId="0" applyFont="1"/>
    <xf numFmtId="0" fontId="29" fillId="0" borderId="0" xfId="0" applyFont="1" applyAlignment="1">
      <alignment horizontal="center" vertical="center"/>
    </xf>
    <xf numFmtId="0" fontId="17" fillId="0" borderId="0" xfId="0" applyFont="1"/>
    <xf numFmtId="0" fontId="26" fillId="0" borderId="8" xfId="0" applyFont="1" applyBorder="1" applyAlignment="1">
      <alignment horizontal="center" vertical="center" wrapText="1"/>
    </xf>
    <xf numFmtId="0" fontId="26" fillId="0" borderId="9" xfId="0" applyFont="1" applyBorder="1" applyAlignment="1">
      <alignment horizontal="center" vertical="center" wrapText="1"/>
    </xf>
    <xf numFmtId="0" fontId="29" fillId="0" borderId="11" xfId="0" applyFont="1" applyBorder="1" applyAlignment="1">
      <alignment horizontal="center"/>
    </xf>
    <xf numFmtId="0" fontId="26" fillId="0" borderId="10" xfId="10" applyFont="1" applyBorder="1" applyAlignment="1">
      <alignment horizontal="left" vertical="center"/>
    </xf>
    <xf numFmtId="0" fontId="26" fillId="0" borderId="12" xfId="0" applyFont="1" applyBorder="1" applyAlignment="1">
      <alignment horizontal="left"/>
    </xf>
    <xf numFmtId="167" fontId="29" fillId="0" borderId="2" xfId="9" applyNumberFormat="1" applyFont="1" applyBorder="1" applyAlignment="1">
      <alignment horizontal="center" vertical="center"/>
    </xf>
    <xf numFmtId="167" fontId="26" fillId="0" borderId="2" xfId="9" applyNumberFormat="1" applyFont="1" applyBorder="1" applyAlignment="1">
      <alignment horizontal="center" vertical="center"/>
    </xf>
    <xf numFmtId="167" fontId="29" fillId="0" borderId="13" xfId="9" applyNumberFormat="1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29" fillId="0" borderId="10" xfId="0" applyFont="1" applyBorder="1"/>
    <xf numFmtId="164" fontId="29" fillId="0" borderId="11" xfId="0" applyNumberFormat="1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164" fontId="16" fillId="7" borderId="6" xfId="0" applyNumberFormat="1" applyFont="1" applyFill="1" applyBorder="1"/>
    <xf numFmtId="168" fontId="16" fillId="0" borderId="0" xfId="9" applyNumberFormat="1" applyFont="1" applyAlignment="1">
      <alignment horizontal="right" vertical="center"/>
    </xf>
    <xf numFmtId="166" fontId="0" fillId="7" borderId="0" xfId="0" applyNumberFormat="1" applyFill="1" applyAlignment="1">
      <alignment horizontal="left"/>
    </xf>
    <xf numFmtId="164" fontId="4" fillId="5" borderId="0" xfId="0" applyNumberFormat="1" applyFont="1" applyFill="1" applyAlignment="1">
      <alignment horizontal="right"/>
    </xf>
    <xf numFmtId="0" fontId="4" fillId="5" borderId="0" xfId="0" applyFont="1" applyFill="1" applyAlignment="1">
      <alignment horizontal="right"/>
    </xf>
    <xf numFmtId="2" fontId="4" fillId="5" borderId="0" xfId="0" applyNumberFormat="1" applyFont="1" applyFill="1" applyAlignment="1">
      <alignment horizontal="right"/>
    </xf>
    <xf numFmtId="164" fontId="0" fillId="7" borderId="6" xfId="0" applyNumberFormat="1" applyFill="1" applyBorder="1" applyAlignment="1">
      <alignment horizontal="right"/>
    </xf>
    <xf numFmtId="0" fontId="0" fillId="7" borderId="6" xfId="0" applyFill="1" applyBorder="1" applyAlignment="1">
      <alignment horizontal="right"/>
    </xf>
    <xf numFmtId="2" fontId="0" fillId="7" borderId="6" xfId="0" applyNumberFormat="1" applyFill="1" applyBorder="1" applyAlignment="1">
      <alignment horizontal="right"/>
    </xf>
    <xf numFmtId="0" fontId="4" fillId="5" borderId="0" xfId="0" applyFont="1" applyFill="1" applyAlignment="1">
      <alignment horizontal="left"/>
    </xf>
    <xf numFmtId="0" fontId="0" fillId="7" borderId="6" xfId="0" applyFill="1" applyBorder="1" applyAlignment="1">
      <alignment horizontal="left"/>
    </xf>
    <xf numFmtId="2" fontId="4" fillId="5" borderId="0" xfId="0" applyNumberFormat="1" applyFont="1" applyFill="1"/>
    <xf numFmtId="2" fontId="16" fillId="7" borderId="6" xfId="0" applyNumberFormat="1" applyFont="1" applyFill="1" applyBorder="1"/>
    <xf numFmtId="0" fontId="16" fillId="7" borderId="6" xfId="0" applyFont="1" applyFill="1" applyBorder="1" applyAlignment="1">
      <alignment horizontal="left"/>
    </xf>
    <xf numFmtId="0" fontId="21" fillId="0" borderId="0" xfId="0" applyFont="1"/>
    <xf numFmtId="0" fontId="16" fillId="8" borderId="14" xfId="0" applyFont="1" applyFill="1" applyBorder="1"/>
    <xf numFmtId="0" fontId="3" fillId="4" borderId="0" xfId="0" quotePrefix="1" applyFont="1" applyFill="1"/>
    <xf numFmtId="0" fontId="7" fillId="4" borderId="0" xfId="0" applyFont="1" applyFill="1"/>
    <xf numFmtId="0" fontId="31" fillId="4" borderId="0" xfId="0" quotePrefix="1" applyFont="1" applyFill="1" applyAlignment="1">
      <alignment horizontal="left"/>
    </xf>
    <xf numFmtId="0" fontId="13" fillId="0" borderId="0" xfId="2" applyFont="1" applyAlignment="1">
      <alignment horizontal="left"/>
    </xf>
    <xf numFmtId="0" fontId="3" fillId="4" borderId="0" xfId="0" applyFont="1" applyFill="1" applyAlignment="1">
      <alignment readingOrder="1"/>
    </xf>
    <xf numFmtId="164" fontId="0" fillId="0" borderId="0" xfId="0" applyNumberFormat="1"/>
    <xf numFmtId="166" fontId="2" fillId="2" borderId="4" xfId="0" applyNumberFormat="1" applyFont="1" applyFill="1" applyBorder="1" applyAlignment="1">
      <alignment horizontal="center" vertical="center"/>
    </xf>
    <xf numFmtId="166" fontId="2" fillId="2" borderId="4" xfId="0" applyNumberFormat="1" applyFont="1" applyFill="1" applyBorder="1" applyAlignment="1">
      <alignment horizontal="center" vertical="center" wrapText="1"/>
    </xf>
    <xf numFmtId="0" fontId="26" fillId="0" borderId="15" xfId="10" applyFont="1" applyBorder="1" applyAlignment="1">
      <alignment horizontal="left" vertical="center"/>
    </xf>
    <xf numFmtId="0" fontId="26" fillId="0" borderId="16" xfId="0" applyFont="1" applyBorder="1" applyAlignment="1">
      <alignment horizontal="left"/>
    </xf>
    <xf numFmtId="0" fontId="29" fillId="0" borderId="15" xfId="0" applyFont="1" applyBorder="1"/>
    <xf numFmtId="0" fontId="26" fillId="0" borderId="19" xfId="0" applyFont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/>
    </xf>
    <xf numFmtId="0" fontId="32" fillId="0" borderId="0" xfId="0" applyFont="1"/>
    <xf numFmtId="166" fontId="4" fillId="5" borderId="0" xfId="0" applyNumberFormat="1" applyFont="1" applyFill="1"/>
    <xf numFmtId="166" fontId="0" fillId="5" borderId="0" xfId="0" quotePrefix="1" applyNumberFormat="1" applyFill="1" applyAlignment="1">
      <alignment horizontal="left"/>
    </xf>
    <xf numFmtId="166" fontId="4" fillId="7" borderId="0" xfId="0" applyNumberFormat="1" applyFont="1" applyFill="1"/>
    <xf numFmtId="166" fontId="0" fillId="7" borderId="0" xfId="0" quotePrefix="1" applyNumberFormat="1" applyFill="1" applyAlignment="1">
      <alignment horizontal="left"/>
    </xf>
    <xf numFmtId="166" fontId="4" fillId="3" borderId="0" xfId="1" applyNumberFormat="1" applyFill="1" applyAlignment="1">
      <alignment horizontal="center" vertical="center" wrapText="1"/>
    </xf>
    <xf numFmtId="166" fontId="34" fillId="8" borderId="14" xfId="0" applyNumberFormat="1" applyFont="1" applyFill="1" applyBorder="1" applyAlignment="1">
      <alignment horizontal="left"/>
    </xf>
    <xf numFmtId="166" fontId="34" fillId="8" borderId="0" xfId="0" applyNumberFormat="1" applyFont="1" applyFill="1" applyAlignment="1">
      <alignment horizontal="left"/>
    </xf>
    <xf numFmtId="166" fontId="34" fillId="8" borderId="14" xfId="0" applyNumberFormat="1" applyFont="1" applyFill="1" applyBorder="1"/>
    <xf numFmtId="166" fontId="34" fillId="8" borderId="0" xfId="0" applyNumberFormat="1" applyFont="1" applyFill="1"/>
    <xf numFmtId="166" fontId="0" fillId="5" borderId="0" xfId="0" applyNumberFormat="1" applyFill="1" applyAlignment="1">
      <alignment horizontal="left"/>
    </xf>
    <xf numFmtId="167" fontId="35" fillId="0" borderId="1" xfId="9" applyNumberFormat="1" applyFont="1" applyBorder="1" applyAlignment="1">
      <alignment horizontal="center" vertical="center"/>
    </xf>
    <xf numFmtId="167" fontId="35" fillId="0" borderId="11" xfId="9" applyNumberFormat="1" applyFont="1" applyBorder="1" applyAlignment="1">
      <alignment horizontal="center" vertical="center"/>
    </xf>
    <xf numFmtId="166" fontId="34" fillId="7" borderId="0" xfId="0" applyNumberFormat="1" applyFont="1" applyFill="1" applyAlignment="1">
      <alignment horizontal="left"/>
    </xf>
    <xf numFmtId="166" fontId="34" fillId="7" borderId="0" xfId="0" applyNumberFormat="1" applyFont="1" applyFill="1"/>
    <xf numFmtId="166" fontId="34" fillId="5" borderId="0" xfId="0" applyNumberFormat="1" applyFont="1" applyFill="1" applyAlignment="1">
      <alignment horizontal="left"/>
    </xf>
    <xf numFmtId="166" fontId="34" fillId="5" borderId="0" xfId="0" applyNumberFormat="1" applyFont="1" applyFill="1"/>
    <xf numFmtId="167" fontId="38" fillId="0" borderId="1" xfId="9" applyNumberFormat="1" applyFont="1" applyBorder="1" applyAlignment="1">
      <alignment horizontal="center" vertical="center"/>
    </xf>
    <xf numFmtId="164" fontId="4" fillId="7" borderId="0" xfId="0" applyNumberFormat="1" applyFont="1" applyFill="1"/>
    <xf numFmtId="2" fontId="16" fillId="7" borderId="0" xfId="0" applyNumberFormat="1" applyFont="1" applyFill="1"/>
    <xf numFmtId="0" fontId="16" fillId="7" borderId="0" xfId="0" applyFont="1" applyFill="1"/>
    <xf numFmtId="166" fontId="4" fillId="5" borderId="0" xfId="1" applyNumberFormat="1" applyFill="1" applyAlignment="1">
      <alignment horizontal="left" vertical="center" wrapText="1"/>
    </xf>
    <xf numFmtId="166" fontId="4" fillId="7" borderId="0" xfId="1" applyNumberFormat="1" applyFill="1" applyAlignment="1">
      <alignment horizontal="left" vertical="center" wrapText="1"/>
    </xf>
    <xf numFmtId="166" fontId="4" fillId="7" borderId="0" xfId="1" applyNumberFormat="1" applyFill="1" applyAlignment="1">
      <alignment horizontal="left" wrapText="1"/>
    </xf>
    <xf numFmtId="164" fontId="4" fillId="7" borderId="0" xfId="1" applyNumberFormat="1" applyFill="1" applyAlignment="1">
      <alignment horizontal="right" wrapText="1"/>
    </xf>
    <xf numFmtId="2" fontId="4" fillId="7" borderId="0" xfId="1" applyNumberFormat="1" applyFill="1" applyAlignment="1">
      <alignment horizontal="right" wrapText="1"/>
    </xf>
    <xf numFmtId="164" fontId="16" fillId="7" borderId="0" xfId="0" applyNumberFormat="1" applyFont="1" applyFill="1"/>
    <xf numFmtId="164" fontId="39" fillId="5" borderId="0" xfId="0" applyNumberFormat="1" applyFont="1" applyFill="1"/>
    <xf numFmtId="164" fontId="39" fillId="7" borderId="6" xfId="0" applyNumberFormat="1" applyFont="1" applyFill="1" applyBorder="1"/>
    <xf numFmtId="2" fontId="4" fillId="7" borderId="6" xfId="0" applyNumberFormat="1" applyFont="1" applyFill="1" applyBorder="1" applyAlignment="1">
      <alignment horizontal="right"/>
    </xf>
    <xf numFmtId="2" fontId="16" fillId="8" borderId="0" xfId="0" applyNumberFormat="1" applyFont="1" applyFill="1"/>
    <xf numFmtId="164" fontId="29" fillId="0" borderId="11" xfId="11" applyNumberFormat="1" applyFont="1" applyBorder="1" applyAlignment="1">
      <alignment horizontal="center" vertical="center"/>
    </xf>
    <xf numFmtId="0" fontId="16" fillId="5" borderId="0" xfId="0" applyFont="1" applyFill="1"/>
    <xf numFmtId="164" fontId="16" fillId="5" borderId="0" xfId="0" applyNumberFormat="1" applyFont="1" applyFill="1"/>
    <xf numFmtId="2" fontId="16" fillId="5" borderId="0" xfId="0" applyNumberFormat="1" applyFont="1" applyFill="1"/>
    <xf numFmtId="2" fontId="4" fillId="5" borderId="0" xfId="1" applyNumberFormat="1" applyFill="1" applyAlignment="1">
      <alignment horizontal="right" wrapText="1"/>
    </xf>
    <xf numFmtId="0" fontId="40" fillId="4" borderId="0" xfId="16" applyFont="1" applyFill="1"/>
    <xf numFmtId="0" fontId="3" fillId="4" borderId="0" xfId="16" applyFont="1" applyFill="1"/>
    <xf numFmtId="0" fontId="6" fillId="0" borderId="0" xfId="16" applyFont="1"/>
    <xf numFmtId="0" fontId="21" fillId="11" borderId="24" xfId="17" applyFont="1" applyFill="1" applyBorder="1" applyAlignment="1">
      <alignment horizontal="center" vertical="center"/>
    </xf>
    <xf numFmtId="0" fontId="21" fillId="11" borderId="24" xfId="0" applyFont="1" applyFill="1" applyBorder="1" applyAlignment="1">
      <alignment horizontal="center" vertical="center" wrapText="1"/>
    </xf>
    <xf numFmtId="0" fontId="21" fillId="11" borderId="24" xfId="17" applyFont="1" applyFill="1" applyBorder="1" applyAlignment="1">
      <alignment horizontal="center" vertical="center" wrapText="1"/>
    </xf>
    <xf numFmtId="0" fontId="16" fillId="12" borderId="28" xfId="18" applyFont="1" applyFill="1" applyBorder="1" applyAlignment="1">
      <alignment horizontal="center" vertical="center" wrapText="1"/>
    </xf>
    <xf numFmtId="0" fontId="16" fillId="12" borderId="28" xfId="0" applyFont="1" applyFill="1" applyBorder="1" applyAlignment="1">
      <alignment horizontal="center" vertical="center" wrapText="1"/>
    </xf>
    <xf numFmtId="0" fontId="16" fillId="9" borderId="7" xfId="0" applyFont="1" applyFill="1" applyBorder="1"/>
    <xf numFmtId="0" fontId="21" fillId="13" borderId="24" xfId="17" applyFont="1" applyFill="1" applyBorder="1" applyAlignment="1">
      <alignment horizontal="center" vertical="center"/>
    </xf>
    <xf numFmtId="0" fontId="41" fillId="14" borderId="29" xfId="17" applyFont="1" applyFill="1" applyBorder="1" applyAlignment="1">
      <alignment horizontal="center" vertical="center" wrapText="1"/>
    </xf>
    <xf numFmtId="0" fontId="41" fillId="11" borderId="24" xfId="17" applyFont="1" applyFill="1" applyBorder="1" applyAlignment="1">
      <alignment horizontal="center" vertical="center" wrapText="1"/>
    </xf>
    <xf numFmtId="0" fontId="16" fillId="13" borderId="26" xfId="0" applyFont="1" applyFill="1" applyBorder="1"/>
    <xf numFmtId="166" fontId="4" fillId="0" borderId="0" xfId="1" applyNumberFormat="1" applyAlignment="1">
      <alignment horizontal="center" vertical="center" wrapText="1"/>
    </xf>
    <xf numFmtId="0" fontId="34" fillId="0" borderId="0" xfId="0" applyFont="1"/>
    <xf numFmtId="0" fontId="0" fillId="0" borderId="5" xfId="0" applyBorder="1"/>
    <xf numFmtId="0" fontId="43" fillId="7" borderId="6" xfId="0" applyFont="1" applyFill="1" applyBorder="1"/>
    <xf numFmtId="0" fontId="43" fillId="0" borderId="0" xfId="0" applyFont="1"/>
    <xf numFmtId="164" fontId="0" fillId="7" borderId="0" xfId="0" applyNumberFormat="1" applyFill="1" applyAlignment="1">
      <alignment horizontal="right"/>
    </xf>
    <xf numFmtId="164" fontId="0" fillId="0" borderId="0" xfId="0" applyNumberFormat="1" applyAlignment="1">
      <alignment horizontal="right"/>
    </xf>
    <xf numFmtId="0" fontId="4" fillId="7" borderId="0" xfId="0" applyFont="1" applyFill="1" applyAlignment="1">
      <alignment horizontal="left"/>
    </xf>
    <xf numFmtId="0" fontId="0" fillId="7" borderId="0" xfId="0" applyFill="1" applyAlignment="1">
      <alignment horizontal="right"/>
    </xf>
    <xf numFmtId="2" fontId="0" fillId="7" borderId="0" xfId="0" applyNumberFormat="1" applyFill="1" applyAlignment="1">
      <alignment horizontal="right"/>
    </xf>
    <xf numFmtId="2" fontId="4" fillId="7" borderId="0" xfId="0" applyNumberFormat="1" applyFont="1" applyFill="1" applyAlignment="1">
      <alignment horizontal="right"/>
    </xf>
    <xf numFmtId="2" fontId="4" fillId="0" borderId="0" xfId="0" applyNumberFormat="1" applyFont="1" applyAlignment="1">
      <alignment horizontal="right"/>
    </xf>
    <xf numFmtId="0" fontId="4" fillId="7" borderId="31" xfId="0" applyFont="1" applyFill="1" applyBorder="1"/>
    <xf numFmtId="2" fontId="37" fillId="7" borderId="0" xfId="0" applyNumberFormat="1" applyFont="1" applyFill="1" applyAlignment="1">
      <alignment horizontal="right"/>
    </xf>
    <xf numFmtId="166" fontId="4" fillId="2" borderId="4" xfId="0" applyNumberFormat="1" applyFont="1" applyFill="1" applyBorder="1" applyAlignment="1">
      <alignment horizontal="center" vertical="center"/>
    </xf>
    <xf numFmtId="0" fontId="16" fillId="7" borderId="7" xfId="0" applyFont="1" applyFill="1" applyBorder="1"/>
    <xf numFmtId="164" fontId="16" fillId="7" borderId="7" xfId="0" applyNumberFormat="1" applyFont="1" applyFill="1" applyBorder="1"/>
    <xf numFmtId="2" fontId="18" fillId="5" borderId="0" xfId="0" applyNumberFormat="1" applyFont="1" applyFill="1" applyAlignment="1">
      <alignment horizontal="right"/>
    </xf>
    <xf numFmtId="0" fontId="43" fillId="7" borderId="0" xfId="0" applyFont="1" applyFill="1"/>
    <xf numFmtId="164" fontId="0" fillId="0" borderId="5" xfId="0" applyNumberFormat="1" applyBorder="1" applyAlignment="1">
      <alignment horizontal="left"/>
    </xf>
    <xf numFmtId="164" fontId="0" fillId="0" borderId="5" xfId="0" applyNumberFormat="1" applyBorder="1" applyAlignment="1">
      <alignment horizontal="right"/>
    </xf>
    <xf numFmtId="164" fontId="0" fillId="7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166" fontId="16" fillId="0" borderId="0" xfId="0" applyNumberFormat="1" applyFont="1"/>
    <xf numFmtId="166" fontId="0" fillId="0" borderId="0" xfId="0" quotePrefix="1" applyNumberFormat="1" applyAlignment="1">
      <alignment horizontal="left"/>
    </xf>
    <xf numFmtId="166" fontId="34" fillId="0" borderId="0" xfId="0" applyNumberFormat="1" applyFont="1" applyAlignment="1">
      <alignment horizontal="left"/>
    </xf>
    <xf numFmtId="0" fontId="18" fillId="6" borderId="0" xfId="4" applyFont="1" applyFill="1" applyAlignment="1">
      <alignment horizontal="left"/>
    </xf>
    <xf numFmtId="0" fontId="4" fillId="5" borderId="31" xfId="0" applyFont="1" applyFill="1" applyBorder="1"/>
    <xf numFmtId="2" fontId="37" fillId="5" borderId="0" xfId="0" applyNumberFormat="1" applyFont="1" applyFill="1" applyAlignment="1">
      <alignment horizontal="right"/>
    </xf>
    <xf numFmtId="166" fontId="4" fillId="3" borderId="27" xfId="1" applyNumberFormat="1" applyFill="1" applyBorder="1" applyAlignment="1">
      <alignment horizontal="center" vertical="center" wrapText="1"/>
    </xf>
    <xf numFmtId="0" fontId="4" fillId="5" borderId="30" xfId="0" applyFont="1" applyFill="1" applyBorder="1"/>
    <xf numFmtId="2" fontId="36" fillId="5" borderId="5" xfId="0" applyNumberFormat="1" applyFont="1" applyFill="1" applyBorder="1" applyAlignment="1">
      <alignment horizontal="right"/>
    </xf>
    <xf numFmtId="2" fontId="37" fillId="5" borderId="5" xfId="0" applyNumberFormat="1" applyFont="1" applyFill="1" applyBorder="1" applyAlignment="1">
      <alignment horizontal="right"/>
    </xf>
    <xf numFmtId="0" fontId="18" fillId="5" borderId="5" xfId="4" applyFont="1" applyFill="1" applyBorder="1" applyAlignment="1">
      <alignment horizontal="left"/>
    </xf>
    <xf numFmtId="166" fontId="16" fillId="0" borderId="6" xfId="0" applyNumberFormat="1" applyFont="1" applyBorder="1"/>
    <xf numFmtId="166" fontId="4" fillId="0" borderId="6" xfId="0" applyNumberFormat="1" applyFont="1" applyBorder="1"/>
    <xf numFmtId="166" fontId="0" fillId="0" borderId="6" xfId="0" applyNumberFormat="1" applyBorder="1" applyAlignment="1">
      <alignment horizontal="left"/>
    </xf>
    <xf numFmtId="166" fontId="0" fillId="0" borderId="6" xfId="0" applyNumberFormat="1" applyBorder="1"/>
    <xf numFmtId="166" fontId="44" fillId="5" borderId="0" xfId="0" applyNumberFormat="1" applyFont="1" applyFill="1"/>
    <xf numFmtId="164" fontId="39" fillId="7" borderId="0" xfId="0" applyNumberFormat="1" applyFont="1" applyFill="1"/>
    <xf numFmtId="2" fontId="4" fillId="7" borderId="0" xfId="0" applyNumberFormat="1" applyFont="1" applyFill="1"/>
    <xf numFmtId="166" fontId="4" fillId="7" borderId="5" xfId="0" applyNumberFormat="1" applyFont="1" applyFill="1" applyBorder="1"/>
    <xf numFmtId="164" fontId="4" fillId="7" borderId="0" xfId="0" applyNumberFormat="1" applyFont="1" applyFill="1" applyAlignment="1">
      <alignment horizontal="left"/>
    </xf>
    <xf numFmtId="0" fontId="34" fillId="8" borderId="0" xfId="0" applyFont="1" applyFill="1"/>
    <xf numFmtId="164" fontId="34" fillId="8" borderId="0" xfId="0" applyNumberFormat="1" applyFont="1" applyFill="1"/>
    <xf numFmtId="0" fontId="34" fillId="7" borderId="0" xfId="0" applyFont="1" applyFill="1"/>
    <xf numFmtId="164" fontId="34" fillId="7" borderId="0" xfId="0" applyNumberFormat="1" applyFont="1" applyFill="1"/>
    <xf numFmtId="0" fontId="4" fillId="5" borderId="4" xfId="0" applyFont="1" applyFill="1" applyBorder="1"/>
    <xf numFmtId="0" fontId="18" fillId="5" borderId="4" xfId="4" applyFont="1" applyFill="1" applyBorder="1" applyAlignment="1">
      <alignment horizontal="left"/>
    </xf>
    <xf numFmtId="2" fontId="18" fillId="5" borderId="4" xfId="0" applyNumberFormat="1" applyFont="1" applyFill="1" applyBorder="1" applyAlignment="1">
      <alignment horizontal="right"/>
    </xf>
    <xf numFmtId="2" fontId="37" fillId="5" borderId="4" xfId="0" applyNumberFormat="1" applyFont="1" applyFill="1" applyBorder="1" applyAlignment="1">
      <alignment horizontal="right"/>
    </xf>
    <xf numFmtId="0" fontId="26" fillId="0" borderId="20" xfId="0" applyFont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 wrapText="1"/>
    </xf>
    <xf numFmtId="0" fontId="26" fillId="0" borderId="22" xfId="0" applyFont="1" applyBorder="1" applyAlignment="1">
      <alignment horizontal="center" vertical="center" wrapText="1"/>
    </xf>
    <xf numFmtId="0" fontId="26" fillId="0" borderId="17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26" fillId="0" borderId="23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0" fontId="30" fillId="10" borderId="3" xfId="0" applyFont="1" applyFill="1" applyBorder="1" applyAlignment="1">
      <alignment horizontal="center"/>
    </xf>
    <xf numFmtId="0" fontId="30" fillId="10" borderId="0" xfId="0" applyFont="1" applyFill="1" applyAlignment="1">
      <alignment horizontal="center"/>
    </xf>
    <xf numFmtId="166" fontId="4" fillId="3" borderId="4" xfId="1" applyNumberFormat="1" applyFill="1" applyBorder="1" applyAlignment="1">
      <alignment horizontal="center" vertical="center" wrapText="1"/>
    </xf>
    <xf numFmtId="166" fontId="4" fillId="3" borderId="27" xfId="1" applyNumberFormat="1" applyFill="1" applyBorder="1" applyAlignment="1">
      <alignment horizontal="center" vertical="center" wrapText="1"/>
    </xf>
  </cellXfs>
  <cellStyles count="19">
    <cellStyle name="Normal - Style1 2 2 3" xfId="16" xr:uid="{2AADB34C-B1F7-4CBC-9897-3A03156237C0}"/>
    <cellStyle name="Normal 10" xfId="1" xr:uid="{00000000-0005-0000-0000-000016030000}"/>
    <cellStyle name="Normal 10 15 2" xfId="18" xr:uid="{88A940FB-9ACB-46B3-BE8B-9D5F36E69BB7}"/>
    <cellStyle name="Normal 2" xfId="5" xr:uid="{A7260F85-B5B3-45B4-BDA7-1B7692316576}"/>
    <cellStyle name="Normal 3" xfId="2" xr:uid="{00000000-0005-0000-0000-00001B030000}"/>
    <cellStyle name="Normal 39 2 2" xfId="17" xr:uid="{28826667-2387-4670-A0B1-EAAD21D475DF}"/>
    <cellStyle name="Normal 4" xfId="3" xr:uid="{00000000-0005-0000-0000-00001F030000}"/>
    <cellStyle name="Normal 5" xfId="11" xr:uid="{A786CF92-A1BF-458C-81AF-BF90982E62F6}"/>
    <cellStyle name="Normal_MIN" xfId="14" xr:uid="{531586DA-7CB6-418E-86EF-1281C4E9D42A}"/>
    <cellStyle name="Normale" xfId="0" builtinId="0"/>
    <cellStyle name="Normalny 2" xfId="4" xr:uid="{00000000-0005-0000-0000-000091030000}"/>
    <cellStyle name="Normalny 43" xfId="7" xr:uid="{25509E4F-049A-4BCD-9F3D-F29DF0A232D3}"/>
    <cellStyle name="Normalny 43 2" xfId="12" xr:uid="{DF7CB5DA-CE0F-4C6C-96A1-63F35A96934F}"/>
    <cellStyle name="Normalny_S301-339-05" xfId="9" xr:uid="{00000000-0005-0000-0000-00009D030000}"/>
    <cellStyle name="Normalny_T206" xfId="10" xr:uid="{00000000-0005-0000-0000-00009E030000}"/>
    <cellStyle name="Per cent 2" xfId="6" xr:uid="{16AEAEF0-BCF7-4E92-A003-70F2F7EBC894}"/>
    <cellStyle name="Percentuale" xfId="8" builtinId="5"/>
    <cellStyle name="Percentuale 2" xfId="13" xr:uid="{0C2ECBA0-BF32-4461-B2C6-A52C56B89DB8}"/>
    <cellStyle name="Procentowy 2" xfId="15" xr:uid="{AF95D2FE-2875-4915-84E0-BA6F94C8A50D}"/>
  </cellStyles>
  <dxfs count="0"/>
  <tableStyles count="0" defaultTableStyle="TableStyleMedium9" defaultPivotStyle="PivotStyleLight16"/>
  <colors>
    <mruColors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</xdr:row>
      <xdr:rowOff>1</xdr:rowOff>
    </xdr:from>
    <xdr:to>
      <xdr:col>19</xdr:col>
      <xdr:colOff>314325</xdr:colOff>
      <xdr:row>40</xdr:row>
      <xdr:rowOff>115027</xdr:rowOff>
    </xdr:to>
    <xdr:pic>
      <xdr:nvPicPr>
        <xdr:cNvPr id="3" name="Elemento grafico 2">
          <a:extLst>
            <a:ext uri="{FF2B5EF4-FFF2-40B4-BE49-F238E27FC236}">
              <a16:creationId xmlns:a16="http://schemas.microsoft.com/office/drawing/2014/main" id="{69C31FFF-00E0-F455-BA3E-B877A5B51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943100" y="647701"/>
          <a:ext cx="10677525" cy="5944326"/>
        </a:xfrm>
        <a:prstGeom prst="rect">
          <a:avLst/>
        </a:prstGeom>
      </xdr:spPr>
    </xdr:pic>
    <xdr:clientData/>
  </xdr:twoCellAnchor>
  <xdr:twoCellAnchor editAs="oneCell">
    <xdr:from>
      <xdr:col>3</xdr:col>
      <xdr:colOff>44701</xdr:colOff>
      <xdr:row>39</xdr:row>
      <xdr:rowOff>81275</xdr:rowOff>
    </xdr:from>
    <xdr:to>
      <xdr:col>19</xdr:col>
      <xdr:colOff>850</xdr:colOff>
      <xdr:row>75</xdr:row>
      <xdr:rowOff>56851</xdr:rowOff>
    </xdr:to>
    <xdr:pic>
      <xdr:nvPicPr>
        <xdr:cNvPr id="4" name="Elemento grafico 3">
          <a:extLst>
            <a:ext uri="{FF2B5EF4-FFF2-40B4-BE49-F238E27FC236}">
              <a16:creationId xmlns:a16="http://schemas.microsoft.com/office/drawing/2014/main" id="{30600F27-F651-1439-FCCF-544CF1DE99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966125" y="6486016"/>
          <a:ext cx="10203735" cy="5887645"/>
        </a:xfrm>
        <a:prstGeom prst="rect">
          <a:avLst/>
        </a:prstGeom>
      </xdr:spPr>
    </xdr:pic>
    <xdr:clientData/>
  </xdr:twoCellAnchor>
  <xdr:twoCellAnchor editAs="oneCell">
    <xdr:from>
      <xdr:col>3</xdr:col>
      <xdr:colOff>471612</xdr:colOff>
      <xdr:row>75</xdr:row>
      <xdr:rowOff>7584</xdr:rowOff>
    </xdr:from>
    <xdr:to>
      <xdr:col>18</xdr:col>
      <xdr:colOff>548546</xdr:colOff>
      <xdr:row>109</xdr:row>
      <xdr:rowOff>114957</xdr:rowOff>
    </xdr:to>
    <xdr:pic>
      <xdr:nvPicPr>
        <xdr:cNvPr id="5" name="Elemento grafico 4">
          <a:extLst>
            <a:ext uri="{FF2B5EF4-FFF2-40B4-BE49-F238E27FC236}">
              <a16:creationId xmlns:a16="http://schemas.microsoft.com/office/drawing/2014/main" id="{76941FDC-846E-1E54-8D34-8AB0945C9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393036" y="12324394"/>
          <a:ext cx="9684044" cy="56909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1729408</xdr:colOff>
      <xdr:row>0</xdr:row>
      <xdr:rowOff>72888</xdr:rowOff>
    </xdr:from>
    <xdr:to>
      <xdr:col>14</xdr:col>
      <xdr:colOff>689113</xdr:colOff>
      <xdr:row>3</xdr:row>
      <xdr:rowOff>86141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E58C486-551F-47A9-91CE-116C018103E4}"/>
            </a:ext>
          </a:extLst>
        </xdr:cNvPr>
        <xdr:cNvSpPr txBox="1"/>
      </xdr:nvSpPr>
      <xdr:spPr>
        <a:xfrm>
          <a:off x="8037443" y="72888"/>
          <a:ext cx="4353340" cy="549966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1400">
              <a:solidFill>
                <a:schemeClr val="bg1"/>
              </a:solidFill>
            </a:rPr>
            <a:t>The character " </a:t>
          </a:r>
          <a:r>
            <a:rPr lang="pl-PL" sz="1400" b="1">
              <a:solidFill>
                <a:schemeClr val="bg1"/>
              </a:solidFill>
            </a:rPr>
            <a:t>~</a:t>
          </a:r>
          <a:r>
            <a:rPr lang="pl-PL" sz="1400">
              <a:solidFill>
                <a:schemeClr val="bg1"/>
              </a:solidFill>
            </a:rPr>
            <a:t> " after the attribute name allows an additional dimension to be inserted to "flatten" the table.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530959</xdr:colOff>
      <xdr:row>26</xdr:row>
      <xdr:rowOff>57645</xdr:rowOff>
    </xdr:from>
    <xdr:to>
      <xdr:col>17</xdr:col>
      <xdr:colOff>321041</xdr:colOff>
      <xdr:row>34</xdr:row>
      <xdr:rowOff>79869</xdr:rowOff>
    </xdr:to>
    <xdr:sp macro="" textlink="">
      <xdr:nvSpPr>
        <xdr:cNvPr id="3" name="Prostokąt: zaokrąglone rogi 2">
          <a:extLst>
            <a:ext uri="{FF2B5EF4-FFF2-40B4-BE49-F238E27FC236}">
              <a16:creationId xmlns:a16="http://schemas.microsoft.com/office/drawing/2014/main" id="{FA0404C6-D766-3E75-3850-657724A84833}"/>
            </a:ext>
          </a:extLst>
        </xdr:cNvPr>
        <xdr:cNvSpPr/>
      </xdr:nvSpPr>
      <xdr:spPr bwMode="auto">
        <a:xfrm>
          <a:off x="11448074" y="4684597"/>
          <a:ext cx="3442554" cy="1311763"/>
        </a:xfrm>
        <a:prstGeom prst="round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pl-PL" sz="1400"/>
            <a:t>Decommissioning of existing capacity in the following model years.</a:t>
          </a:r>
        </a:p>
        <a:p>
          <a:pPr algn="l"/>
          <a:r>
            <a:rPr lang="pl-PL" sz="1400"/>
            <a:t>Consider transferring this data to a scenario.</a:t>
          </a:r>
        </a:p>
      </xdr:txBody>
    </xdr:sp>
    <xdr:clientData/>
  </xdr:twoCellAnchor>
  <xdr:twoCellAnchor>
    <xdr:from>
      <xdr:col>13</xdr:col>
      <xdr:colOff>533400</xdr:colOff>
      <xdr:row>15</xdr:row>
      <xdr:rowOff>38100</xdr:rowOff>
    </xdr:from>
    <xdr:to>
      <xdr:col>14</xdr:col>
      <xdr:colOff>638175</xdr:colOff>
      <xdr:row>23</xdr:row>
      <xdr:rowOff>66675</xdr:rowOff>
    </xdr:to>
    <xdr:cxnSp macro="">
      <xdr:nvCxnSpPr>
        <xdr:cNvPr id="5" name="Connettore diritto 4">
          <a:extLst>
            <a:ext uri="{FF2B5EF4-FFF2-40B4-BE49-F238E27FC236}">
              <a16:creationId xmlns:a16="http://schemas.microsoft.com/office/drawing/2014/main" id="{CBB0D967-9C74-84C2-E8BB-FA244CAD90DC}"/>
            </a:ext>
          </a:extLst>
        </xdr:cNvPr>
        <xdr:cNvCxnSpPr/>
      </xdr:nvCxnSpPr>
      <xdr:spPr bwMode="auto">
        <a:xfrm>
          <a:off x="11560419" y="3404822"/>
          <a:ext cx="643304" cy="1318113"/>
        </a:xfrm>
        <a:prstGeom prst="line">
          <a:avLst/>
        </a:prstGeom>
        <a:ln w="1905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B2:P48"/>
  <sheetViews>
    <sheetView zoomScale="85" zoomScaleNormal="85" workbookViewId="0">
      <selection activeCell="B17" sqref="B17:B20"/>
    </sheetView>
  </sheetViews>
  <sheetFormatPr defaultRowHeight="12.75" x14ac:dyDescent="0.2"/>
  <cols>
    <col min="1" max="1" width="3" customWidth="1"/>
    <col min="2" max="2" width="36.5703125" customWidth="1"/>
    <col min="3" max="3" width="49.42578125" customWidth="1"/>
    <col min="4" max="5" width="15" customWidth="1"/>
    <col min="6" max="6" width="10.5703125" customWidth="1"/>
    <col min="7" max="7" width="10" customWidth="1"/>
    <col min="8" max="8" width="12" customWidth="1"/>
    <col min="9" max="9" width="11" customWidth="1"/>
    <col min="10" max="10" width="10.5703125" customWidth="1"/>
  </cols>
  <sheetData>
    <row r="2" spans="2:10" ht="15" x14ac:dyDescent="0.2">
      <c r="B2" s="59" t="s">
        <v>158</v>
      </c>
      <c r="C2" s="59"/>
    </row>
    <row r="4" spans="2:10" x14ac:dyDescent="0.2">
      <c r="B4" s="69"/>
      <c r="C4" s="69"/>
    </row>
    <row r="5" spans="2:10" ht="13.5" thickBot="1" x14ac:dyDescent="0.25">
      <c r="B5" s="69" t="s">
        <v>191</v>
      </c>
      <c r="C5" s="69"/>
    </row>
    <row r="6" spans="2:10" ht="51" x14ac:dyDescent="0.2">
      <c r="B6" s="217" t="s">
        <v>183</v>
      </c>
      <c r="C6" s="220" t="s">
        <v>136</v>
      </c>
      <c r="D6" s="72" t="s">
        <v>0</v>
      </c>
      <c r="E6" s="72" t="s">
        <v>1</v>
      </c>
      <c r="F6" s="72" t="s">
        <v>2</v>
      </c>
      <c r="G6" s="72" t="s">
        <v>3</v>
      </c>
      <c r="H6" s="72" t="s">
        <v>4</v>
      </c>
      <c r="I6" s="72" t="s">
        <v>3</v>
      </c>
      <c r="J6" s="73" t="s">
        <v>4</v>
      </c>
    </row>
    <row r="7" spans="2:10" ht="51" x14ac:dyDescent="0.2">
      <c r="B7" s="218"/>
      <c r="C7" s="221"/>
      <c r="D7" s="20" t="s">
        <v>137</v>
      </c>
      <c r="E7" s="20" t="s">
        <v>138</v>
      </c>
      <c r="F7" s="20" t="s">
        <v>139</v>
      </c>
      <c r="G7" s="20" t="s">
        <v>140</v>
      </c>
      <c r="H7" s="20" t="s">
        <v>141</v>
      </c>
      <c r="I7" s="20" t="s">
        <v>140</v>
      </c>
      <c r="J7" s="20" t="s">
        <v>141</v>
      </c>
    </row>
    <row r="8" spans="2:10" ht="15.75" x14ac:dyDescent="0.2">
      <c r="B8" s="219"/>
      <c r="C8" s="222"/>
      <c r="D8" s="68" t="s">
        <v>5</v>
      </c>
      <c r="E8" s="68" t="s">
        <v>6</v>
      </c>
      <c r="F8" s="68" t="s">
        <v>7</v>
      </c>
      <c r="G8" s="68" t="s">
        <v>47</v>
      </c>
      <c r="H8" s="68" t="s">
        <v>8</v>
      </c>
      <c r="I8" s="68" t="s">
        <v>9</v>
      </c>
      <c r="J8" s="74" t="s">
        <v>10</v>
      </c>
    </row>
    <row r="9" spans="2:10" x14ac:dyDescent="0.2">
      <c r="B9" s="75" t="s">
        <v>218</v>
      </c>
      <c r="C9" s="108" t="s">
        <v>187</v>
      </c>
      <c r="D9" s="67">
        <v>600</v>
      </c>
      <c r="E9" s="67">
        <v>4500</v>
      </c>
      <c r="F9" s="130">
        <v>0</v>
      </c>
      <c r="G9" s="130">
        <v>1790</v>
      </c>
      <c r="H9" s="130">
        <v>23500</v>
      </c>
      <c r="I9" s="124"/>
      <c r="J9" s="125"/>
    </row>
    <row r="10" spans="2:10" x14ac:dyDescent="0.2">
      <c r="B10" s="75" t="s">
        <v>217</v>
      </c>
      <c r="C10" s="108" t="s">
        <v>186</v>
      </c>
      <c r="D10" s="67">
        <v>550</v>
      </c>
      <c r="E10" s="67">
        <v>4100</v>
      </c>
      <c r="F10" s="130">
        <v>0</v>
      </c>
      <c r="G10" s="130">
        <v>2450</v>
      </c>
      <c r="H10" s="130">
        <v>11000</v>
      </c>
      <c r="I10" s="124"/>
      <c r="J10" s="125"/>
    </row>
    <row r="11" spans="2:10" x14ac:dyDescent="0.2">
      <c r="B11" s="75" t="s">
        <v>216</v>
      </c>
      <c r="C11" s="108" t="s">
        <v>188</v>
      </c>
      <c r="D11" s="67">
        <v>74</v>
      </c>
      <c r="E11" s="67">
        <v>247</v>
      </c>
      <c r="F11" s="130">
        <v>0</v>
      </c>
      <c r="G11" s="124">
        <v>3500</v>
      </c>
      <c r="H11" s="130">
        <v>11000</v>
      </c>
      <c r="I11" s="124"/>
      <c r="J11" s="125"/>
    </row>
    <row r="12" spans="2:10" x14ac:dyDescent="0.2">
      <c r="B12" s="75" t="s">
        <v>214</v>
      </c>
      <c r="C12" s="108" t="s">
        <v>189</v>
      </c>
      <c r="D12" s="67">
        <v>240</v>
      </c>
      <c r="E12" s="67">
        <v>123</v>
      </c>
      <c r="F12" s="130">
        <v>0</v>
      </c>
      <c r="G12" s="130">
        <v>0</v>
      </c>
      <c r="H12" s="124"/>
      <c r="I12" s="124"/>
      <c r="J12" s="125"/>
    </row>
    <row r="13" spans="2:10" x14ac:dyDescent="0.2">
      <c r="B13" s="75" t="s">
        <v>215</v>
      </c>
      <c r="C13" s="108" t="s">
        <v>190</v>
      </c>
      <c r="D13" s="67">
        <v>70</v>
      </c>
      <c r="E13" s="67">
        <v>50</v>
      </c>
      <c r="F13" s="130">
        <v>0</v>
      </c>
      <c r="G13" s="130">
        <v>0</v>
      </c>
      <c r="H13" s="124"/>
      <c r="I13" s="124"/>
      <c r="J13" s="125"/>
    </row>
    <row r="14" spans="2:10" x14ac:dyDescent="0.2">
      <c r="B14" s="75" t="s">
        <v>219</v>
      </c>
      <c r="C14" s="108" t="s">
        <v>142</v>
      </c>
      <c r="D14" s="67">
        <v>1890</v>
      </c>
      <c r="E14" s="67">
        <v>2770</v>
      </c>
      <c r="F14" s="130">
        <v>0</v>
      </c>
      <c r="G14" s="130">
        <v>0</v>
      </c>
      <c r="H14" s="124"/>
      <c r="I14" s="124"/>
      <c r="J14" s="125"/>
    </row>
    <row r="15" spans="2:10" x14ac:dyDescent="0.2">
      <c r="B15" s="75" t="s">
        <v>220</v>
      </c>
      <c r="C15" s="108" t="s">
        <v>143</v>
      </c>
      <c r="D15" s="67">
        <v>1540</v>
      </c>
      <c r="E15" s="67">
        <v>1910</v>
      </c>
      <c r="F15" s="130">
        <v>0</v>
      </c>
      <c r="G15" s="130">
        <v>0</v>
      </c>
      <c r="H15" s="124"/>
      <c r="I15" s="124"/>
      <c r="J15" s="125"/>
    </row>
    <row r="16" spans="2:10" ht="13.5" thickBot="1" x14ac:dyDescent="0.25">
      <c r="B16" s="76" t="s">
        <v>184</v>
      </c>
      <c r="C16" s="109" t="s">
        <v>144</v>
      </c>
      <c r="D16" s="77">
        <f>SUM(D9:D15)</f>
        <v>4964</v>
      </c>
      <c r="E16" s="78">
        <f>SUM(E9:E15)</f>
        <v>13700</v>
      </c>
      <c r="F16" s="78">
        <f>SUM(F9:F15)</f>
        <v>0</v>
      </c>
      <c r="G16" s="78">
        <f>SUM(G9:G15)</f>
        <v>7740</v>
      </c>
      <c r="H16" s="77"/>
      <c r="I16" s="77"/>
      <c r="J16" s="79"/>
    </row>
    <row r="17" spans="2:16" ht="15.75" customHeight="1" x14ac:dyDescent="0.2">
      <c r="B17" s="71" t="s">
        <v>185</v>
      </c>
      <c r="C17" s="71"/>
    </row>
    <row r="18" spans="2:16" x14ac:dyDescent="0.2">
      <c r="B18" s="71" t="s">
        <v>181</v>
      </c>
      <c r="C18" s="71"/>
    </row>
    <row r="19" spans="2:16" x14ac:dyDescent="0.2">
      <c r="B19" s="113" t="s">
        <v>182</v>
      </c>
      <c r="C19" s="71"/>
    </row>
    <row r="20" spans="2:16" x14ac:dyDescent="0.2">
      <c r="B20" s="71" t="s">
        <v>161</v>
      </c>
      <c r="C20" s="71"/>
    </row>
    <row r="21" spans="2:16" x14ac:dyDescent="0.2">
      <c r="B21" s="69"/>
      <c r="C21" s="69"/>
      <c r="D21" s="69"/>
      <c r="E21" s="69"/>
      <c r="F21" s="69"/>
    </row>
    <row r="22" spans="2:16" x14ac:dyDescent="0.2">
      <c r="B22" s="69"/>
      <c r="C22" s="69"/>
      <c r="D22" s="69"/>
      <c r="E22" s="69"/>
      <c r="F22" s="69"/>
    </row>
    <row r="23" spans="2:16" ht="15" x14ac:dyDescent="0.2">
      <c r="B23" s="59" t="s">
        <v>170</v>
      </c>
      <c r="C23" s="59"/>
      <c r="D23" s="69"/>
      <c r="E23" s="69"/>
      <c r="F23" s="69"/>
    </row>
    <row r="25" spans="2:16" x14ac:dyDescent="0.2">
      <c r="B25" s="69" t="s">
        <v>151</v>
      </c>
      <c r="C25" s="69"/>
      <c r="D25" s="69"/>
      <c r="E25" s="69"/>
      <c r="F25" s="69"/>
    </row>
    <row r="26" spans="2:16" ht="13.5" thickBot="1" x14ac:dyDescent="0.25">
      <c r="B26" s="69" t="s">
        <v>150</v>
      </c>
      <c r="C26" s="69"/>
      <c r="D26" s="69"/>
      <c r="E26" s="69"/>
      <c r="F26" s="69"/>
    </row>
    <row r="27" spans="2:16" ht="31.7" customHeight="1" x14ac:dyDescent="0.2">
      <c r="B27" s="215" t="s">
        <v>213</v>
      </c>
      <c r="C27" s="213" t="s">
        <v>146</v>
      </c>
      <c r="D27" s="72" t="s">
        <v>13</v>
      </c>
      <c r="E27" s="80" t="s">
        <v>14</v>
      </c>
      <c r="F27" s="69"/>
    </row>
    <row r="28" spans="2:16" ht="31.7" customHeight="1" x14ac:dyDescent="0.2">
      <c r="B28" s="216"/>
      <c r="C28" s="214"/>
      <c r="D28" s="20" t="s">
        <v>149</v>
      </c>
      <c r="E28" s="112" t="s">
        <v>114</v>
      </c>
      <c r="F28" s="69"/>
    </row>
    <row r="29" spans="2:16" x14ac:dyDescent="0.2">
      <c r="B29" s="81" t="s">
        <v>15</v>
      </c>
      <c r="C29" s="110" t="s">
        <v>147</v>
      </c>
      <c r="D29" s="68" t="s">
        <v>168</v>
      </c>
      <c r="E29" s="144">
        <v>0.98499999999999999</v>
      </c>
      <c r="F29" s="69"/>
      <c r="G29" s="2"/>
    </row>
    <row r="30" spans="2:16" x14ac:dyDescent="0.2">
      <c r="B30" s="81" t="s">
        <v>15</v>
      </c>
      <c r="C30" s="110" t="s">
        <v>147</v>
      </c>
      <c r="D30" s="68" t="s">
        <v>169</v>
      </c>
      <c r="E30" s="144">
        <v>0.95299999999999996</v>
      </c>
      <c r="F30" s="69"/>
      <c r="G30" s="2"/>
    </row>
    <row r="31" spans="2:16" x14ac:dyDescent="0.2">
      <c r="B31" s="81" t="s">
        <v>15</v>
      </c>
      <c r="C31" s="110" t="s">
        <v>147</v>
      </c>
      <c r="D31" s="68" t="s">
        <v>148</v>
      </c>
      <c r="E31" s="144">
        <v>0.89800000000000002</v>
      </c>
      <c r="F31" s="69"/>
      <c r="G31" s="23"/>
    </row>
    <row r="32" spans="2:16" x14ac:dyDescent="0.2">
      <c r="B32" s="71"/>
      <c r="C32" s="69"/>
      <c r="D32" s="69"/>
      <c r="E32" s="70"/>
      <c r="F32" s="69"/>
      <c r="O32" s="23"/>
      <c r="P32" s="23"/>
    </row>
    <row r="33" spans="2:6" x14ac:dyDescent="0.2">
      <c r="B33" s="113"/>
      <c r="C33" s="69"/>
      <c r="D33" s="69"/>
      <c r="E33" s="70"/>
      <c r="F33" s="69"/>
    </row>
    <row r="34" spans="2:6" x14ac:dyDescent="0.2">
      <c r="B34" s="113"/>
      <c r="C34" s="69"/>
      <c r="D34" s="69"/>
      <c r="E34" s="70"/>
      <c r="F34" s="69"/>
    </row>
    <row r="35" spans="2:6" x14ac:dyDescent="0.2">
      <c r="B35" s="69"/>
      <c r="C35" s="69"/>
      <c r="D35" s="69"/>
      <c r="E35" s="70"/>
      <c r="F35" s="69"/>
    </row>
    <row r="36" spans="2:6" x14ac:dyDescent="0.2">
      <c r="B36" s="69"/>
      <c r="C36" s="69"/>
      <c r="D36" s="69"/>
      <c r="E36" s="70"/>
      <c r="F36" s="69"/>
    </row>
    <row r="37" spans="2:6" ht="15" x14ac:dyDescent="0.2">
      <c r="B37" s="59" t="s">
        <v>159</v>
      </c>
      <c r="C37" s="59"/>
      <c r="D37" s="69"/>
      <c r="E37" s="70"/>
      <c r="F37" s="69"/>
    </row>
    <row r="38" spans="2:6" x14ac:dyDescent="0.2">
      <c r="B38" s="69"/>
      <c r="C38" s="69"/>
      <c r="D38" s="69"/>
      <c r="E38" s="70"/>
      <c r="F38" s="69"/>
    </row>
    <row r="39" spans="2:6" x14ac:dyDescent="0.2">
      <c r="B39" s="69" t="s">
        <v>212</v>
      </c>
      <c r="C39" s="69"/>
      <c r="D39" s="69"/>
      <c r="E39" s="70"/>
      <c r="F39" s="69"/>
    </row>
    <row r="40" spans="2:6" ht="13.5" thickBot="1" x14ac:dyDescent="0.25">
      <c r="B40" s="69"/>
      <c r="C40" s="69"/>
      <c r="D40" s="69"/>
      <c r="E40" s="70"/>
      <c r="F40" s="69"/>
    </row>
    <row r="41" spans="2:6" ht="24.75" customHeight="1" x14ac:dyDescent="0.2">
      <c r="B41" s="215" t="s">
        <v>12</v>
      </c>
      <c r="C41" s="213" t="s">
        <v>146</v>
      </c>
      <c r="D41" s="83" t="s">
        <v>16</v>
      </c>
      <c r="E41" s="73" t="s">
        <v>17</v>
      </c>
      <c r="F41" s="69"/>
    </row>
    <row r="42" spans="2:6" ht="24.75" customHeight="1" x14ac:dyDescent="0.2">
      <c r="B42" s="216"/>
      <c r="C42" s="214"/>
      <c r="D42" s="21" t="s">
        <v>24</v>
      </c>
      <c r="E42" s="111" t="s">
        <v>152</v>
      </c>
      <c r="F42" s="69"/>
    </row>
    <row r="43" spans="2:6" x14ac:dyDescent="0.2">
      <c r="B43" s="81" t="s">
        <v>15</v>
      </c>
      <c r="C43" s="110" t="s">
        <v>147</v>
      </c>
      <c r="D43" s="68" t="s">
        <v>18</v>
      </c>
      <c r="E43" s="82">
        <f>SUM(E9:E15)*E29/1000</f>
        <v>13.4945</v>
      </c>
      <c r="F43" s="69"/>
    </row>
    <row r="44" spans="2:6" x14ac:dyDescent="0.2">
      <c r="B44" s="71" t="s">
        <v>145</v>
      </c>
      <c r="C44" s="69"/>
      <c r="D44" s="69"/>
      <c r="E44" s="69"/>
      <c r="F44" s="69"/>
    </row>
    <row r="45" spans="2:6" x14ac:dyDescent="0.2">
      <c r="B45" s="113" t="s">
        <v>11</v>
      </c>
      <c r="C45" s="69"/>
      <c r="D45" s="69"/>
      <c r="E45" s="69"/>
      <c r="F45" s="69"/>
    </row>
    <row r="46" spans="2:6" x14ac:dyDescent="0.2">
      <c r="B46" s="113" t="s">
        <v>160</v>
      </c>
    </row>
    <row r="48" spans="2:6" x14ac:dyDescent="0.2">
      <c r="B48" s="69"/>
      <c r="C48" s="69"/>
    </row>
  </sheetData>
  <mergeCells count="6">
    <mergeCell ref="C41:C42"/>
    <mergeCell ref="B41:B42"/>
    <mergeCell ref="B27:B28"/>
    <mergeCell ref="C27:C28"/>
    <mergeCell ref="B6:B8"/>
    <mergeCell ref="C6:C8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46B95-FDBD-49FB-9D7A-2B18B270E0EC}">
  <dimension ref="A1"/>
  <sheetViews>
    <sheetView zoomScale="29" zoomScaleNormal="70" workbookViewId="0">
      <selection activeCell="X113" sqref="X113"/>
    </sheetView>
  </sheetViews>
  <sheetFormatPr defaultRowHeight="12.75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I52"/>
  <sheetViews>
    <sheetView zoomScaleNormal="100" workbookViewId="0">
      <selection activeCell="T32" sqref="T32"/>
    </sheetView>
  </sheetViews>
  <sheetFormatPr defaultRowHeight="12.75" x14ac:dyDescent="0.2"/>
  <cols>
    <col min="1" max="1" width="3" customWidth="1"/>
    <col min="2" max="2" width="14.5703125" customWidth="1"/>
    <col min="3" max="3" width="17.140625" customWidth="1"/>
    <col min="4" max="4" width="42.5703125" customWidth="1"/>
    <col min="5" max="5" width="9.28515625" customWidth="1"/>
    <col min="6" max="6" width="13.42578125" customWidth="1"/>
    <col min="7" max="7" width="11" customWidth="1"/>
    <col min="8" max="8" width="14" customWidth="1"/>
    <col min="9" max="9" width="13.42578125" customWidth="1"/>
    <col min="10" max="10" width="10.42578125" customWidth="1"/>
    <col min="11" max="12" width="10.5703125" bestFit="1" customWidth="1"/>
  </cols>
  <sheetData>
    <row r="2" spans="2:9" ht="18" x14ac:dyDescent="0.25">
      <c r="B2" s="100" t="s">
        <v>19</v>
      </c>
      <c r="C2" s="101"/>
      <c r="D2" s="101"/>
      <c r="E2" s="42"/>
      <c r="F2" s="42"/>
      <c r="G2" s="42"/>
      <c r="H2" s="42"/>
      <c r="I2" s="42"/>
    </row>
    <row r="3" spans="2:9" ht="17.45" customHeight="1" x14ac:dyDescent="0.2">
      <c r="B3" s="43"/>
      <c r="C3" s="42"/>
      <c r="D3" s="42"/>
      <c r="E3" s="42"/>
      <c r="F3" s="42"/>
      <c r="G3" s="42"/>
      <c r="H3" s="42"/>
      <c r="I3" s="42"/>
    </row>
    <row r="4" spans="2:9" ht="17.45" customHeight="1" x14ac:dyDescent="0.2">
      <c r="B4" s="43" t="s">
        <v>20</v>
      </c>
      <c r="C4" s="42"/>
      <c r="D4" s="42"/>
      <c r="E4" s="42"/>
      <c r="F4" s="42"/>
      <c r="G4" s="42"/>
      <c r="H4" s="42"/>
      <c r="I4" s="42"/>
    </row>
    <row r="5" spans="2:9" ht="15.75" customHeight="1" x14ac:dyDescent="0.2">
      <c r="B5" s="106" t="s">
        <v>21</v>
      </c>
      <c r="C5" s="106" t="s">
        <v>22</v>
      </c>
      <c r="D5" s="106" t="s">
        <v>23</v>
      </c>
      <c r="E5" s="106" t="s">
        <v>24</v>
      </c>
      <c r="F5" s="176" t="s">
        <v>25</v>
      </c>
      <c r="G5" s="106" t="s">
        <v>26</v>
      </c>
      <c r="H5" s="106" t="s">
        <v>27</v>
      </c>
      <c r="I5" s="106" t="s">
        <v>28</v>
      </c>
    </row>
    <row r="6" spans="2:9" ht="39.75" customHeight="1" thickBot="1" x14ac:dyDescent="0.25">
      <c r="B6" s="19" t="s">
        <v>29</v>
      </c>
      <c r="C6" s="19" t="s">
        <v>30</v>
      </c>
      <c r="D6" s="19" t="s">
        <v>31</v>
      </c>
      <c r="E6" s="19" t="s">
        <v>24</v>
      </c>
      <c r="F6" s="19" t="s">
        <v>32</v>
      </c>
      <c r="G6" s="19" t="s">
        <v>33</v>
      </c>
      <c r="H6" s="19" t="s">
        <v>34</v>
      </c>
      <c r="I6" s="19" t="s">
        <v>35</v>
      </c>
    </row>
    <row r="7" spans="2:9" ht="18.75" customHeight="1" x14ac:dyDescent="0.2">
      <c r="B7" s="119" t="s">
        <v>36</v>
      </c>
      <c r="C7" s="119" t="s">
        <v>153</v>
      </c>
      <c r="D7" s="119" t="s">
        <v>37</v>
      </c>
      <c r="E7" s="119" t="s">
        <v>38</v>
      </c>
      <c r="F7" s="119"/>
      <c r="G7" s="119" t="s">
        <v>39</v>
      </c>
      <c r="H7" s="119" t="s">
        <v>40</v>
      </c>
      <c r="I7" s="119" t="s">
        <v>41</v>
      </c>
    </row>
    <row r="8" spans="2:9" ht="18.75" customHeight="1" x14ac:dyDescent="0.2">
      <c r="B8" s="126" t="s">
        <v>36</v>
      </c>
      <c r="C8" s="126" t="s">
        <v>275</v>
      </c>
      <c r="D8" s="126" t="s">
        <v>276</v>
      </c>
      <c r="E8" s="126" t="s">
        <v>38</v>
      </c>
      <c r="F8" s="126"/>
      <c r="G8" s="126" t="s">
        <v>39</v>
      </c>
      <c r="H8" s="126" t="s">
        <v>40</v>
      </c>
      <c r="I8" s="126" t="s">
        <v>41</v>
      </c>
    </row>
    <row r="9" spans="2:9" ht="18.75" customHeight="1" x14ac:dyDescent="0.2">
      <c r="B9" s="128" t="s">
        <v>36</v>
      </c>
      <c r="C9" s="128" t="s">
        <v>154</v>
      </c>
      <c r="D9" s="128" t="s">
        <v>42</v>
      </c>
      <c r="E9" s="128" t="s">
        <v>38</v>
      </c>
      <c r="F9" s="128"/>
      <c r="G9" s="128" t="s">
        <v>39</v>
      </c>
      <c r="H9" s="128"/>
      <c r="I9" s="128" t="s">
        <v>41</v>
      </c>
    </row>
    <row r="10" spans="2:9" ht="18.75" customHeight="1" x14ac:dyDescent="0.2">
      <c r="B10" s="126" t="s">
        <v>36</v>
      </c>
      <c r="C10" s="126" t="s">
        <v>308</v>
      </c>
      <c r="D10" s="126" t="s">
        <v>322</v>
      </c>
      <c r="E10" s="126" t="s">
        <v>38</v>
      </c>
      <c r="F10" s="126"/>
      <c r="G10" s="126" t="s">
        <v>39</v>
      </c>
      <c r="H10" s="126"/>
      <c r="I10" s="126" t="s">
        <v>41</v>
      </c>
    </row>
    <row r="11" spans="2:9" ht="18.75" customHeight="1" x14ac:dyDescent="0.2">
      <c r="B11" s="128" t="s">
        <v>36</v>
      </c>
      <c r="C11" s="128" t="s">
        <v>306</v>
      </c>
      <c r="D11" s="128" t="s">
        <v>307</v>
      </c>
      <c r="E11" s="128" t="s">
        <v>38</v>
      </c>
      <c r="F11" s="128"/>
      <c r="G11" s="128" t="s">
        <v>39</v>
      </c>
      <c r="H11" s="128"/>
      <c r="I11" s="128" t="s">
        <v>41</v>
      </c>
    </row>
    <row r="12" spans="2:9" ht="18.75" customHeight="1" x14ac:dyDescent="0.2">
      <c r="B12" s="126" t="s">
        <v>36</v>
      </c>
      <c r="C12" s="126" t="s">
        <v>290</v>
      </c>
      <c r="D12" s="126" t="s">
        <v>291</v>
      </c>
      <c r="E12" s="126" t="s">
        <v>38</v>
      </c>
      <c r="F12" s="126"/>
      <c r="G12" s="126" t="s">
        <v>39</v>
      </c>
      <c r="H12" s="126"/>
      <c r="I12" s="126" t="s">
        <v>41</v>
      </c>
    </row>
    <row r="13" spans="2:9" ht="18.75" customHeight="1" x14ac:dyDescent="0.2">
      <c r="B13" s="187" t="s">
        <v>44</v>
      </c>
      <c r="C13" s="187" t="s">
        <v>45</v>
      </c>
      <c r="D13" s="187" t="s">
        <v>46</v>
      </c>
      <c r="E13" s="187" t="s">
        <v>47</v>
      </c>
      <c r="F13" s="187"/>
      <c r="G13" s="187"/>
      <c r="H13" s="187" t="s">
        <v>40</v>
      </c>
      <c r="I13" s="187"/>
    </row>
    <row r="14" spans="2:9" ht="18.75" customHeight="1" x14ac:dyDescent="0.2">
      <c r="B14" s="126" t="s">
        <v>239</v>
      </c>
      <c r="C14" s="126"/>
      <c r="D14" s="126"/>
      <c r="E14" s="126"/>
      <c r="F14" s="126"/>
      <c r="G14" s="126"/>
      <c r="H14" s="126"/>
      <c r="I14" s="126"/>
    </row>
    <row r="15" spans="2:9" x14ac:dyDescent="0.2">
      <c r="I15" s="45"/>
    </row>
    <row r="17" spans="2:9" ht="18" x14ac:dyDescent="0.25">
      <c r="B17" s="100" t="s">
        <v>173</v>
      </c>
      <c r="C17" s="101"/>
      <c r="D17" s="101"/>
      <c r="E17" s="24"/>
      <c r="F17" s="24"/>
      <c r="G17" s="24"/>
      <c r="H17" s="24"/>
      <c r="I17" s="24"/>
    </row>
    <row r="18" spans="2:9" x14ac:dyDescent="0.2">
      <c r="D18" s="24"/>
      <c r="E18" s="24"/>
      <c r="F18" s="24"/>
      <c r="G18" s="24"/>
      <c r="H18" s="24"/>
      <c r="I18" s="24"/>
    </row>
    <row r="19" spans="2:9" x14ac:dyDescent="0.2">
      <c r="B19" s="43" t="s">
        <v>174</v>
      </c>
      <c r="C19" s="42"/>
      <c r="D19" s="42"/>
      <c r="E19" s="42"/>
      <c r="F19" s="42"/>
      <c r="G19" s="42"/>
      <c r="H19" s="42"/>
      <c r="I19" s="42"/>
    </row>
    <row r="20" spans="2:9" x14ac:dyDescent="0.2">
      <c r="B20" s="106" t="s">
        <v>21</v>
      </c>
      <c r="C20" s="106" t="s">
        <v>22</v>
      </c>
      <c r="D20" s="106" t="s">
        <v>23</v>
      </c>
      <c r="E20" s="106" t="s">
        <v>24</v>
      </c>
      <c r="F20" s="106" t="s">
        <v>25</v>
      </c>
      <c r="G20" s="106" t="s">
        <v>26</v>
      </c>
      <c r="H20" s="106" t="s">
        <v>27</v>
      </c>
      <c r="I20" s="106" t="s">
        <v>28</v>
      </c>
    </row>
    <row r="21" spans="2:9" ht="38.25" x14ac:dyDescent="0.2">
      <c r="B21" s="19" t="s">
        <v>29</v>
      </c>
      <c r="C21" s="19" t="s">
        <v>30</v>
      </c>
      <c r="D21" s="19" t="s">
        <v>31</v>
      </c>
      <c r="E21" s="19" t="s">
        <v>24</v>
      </c>
      <c r="F21" s="19" t="s">
        <v>32</v>
      </c>
      <c r="G21" s="19" t="s">
        <v>33</v>
      </c>
      <c r="H21" s="19" t="s">
        <v>34</v>
      </c>
      <c r="I21" s="19" t="s">
        <v>35</v>
      </c>
    </row>
    <row r="22" spans="2:9" x14ac:dyDescent="0.2">
      <c r="B22" s="66" t="s">
        <v>36</v>
      </c>
      <c r="C22" s="116" t="s">
        <v>305</v>
      </c>
      <c r="D22" s="66" t="s">
        <v>331</v>
      </c>
      <c r="E22" s="117" t="s">
        <v>38</v>
      </c>
      <c r="F22" s="65"/>
      <c r="G22" s="65"/>
      <c r="H22" s="65"/>
      <c r="I22" s="65"/>
    </row>
    <row r="23" spans="2:9" x14ac:dyDescent="0.2">
      <c r="B23" s="49" t="s">
        <v>36</v>
      </c>
      <c r="C23" s="114" t="s">
        <v>296</v>
      </c>
      <c r="D23" s="49" t="s">
        <v>332</v>
      </c>
      <c r="E23" s="115" t="s">
        <v>38</v>
      </c>
      <c r="F23" s="48"/>
      <c r="G23" s="48"/>
      <c r="H23" s="48"/>
      <c r="I23" s="48"/>
    </row>
    <row r="24" spans="2:9" x14ac:dyDescent="0.2">
      <c r="B24" s="66" t="s">
        <v>36</v>
      </c>
      <c r="C24" s="116" t="s">
        <v>204</v>
      </c>
      <c r="D24" s="66" t="s">
        <v>175</v>
      </c>
      <c r="E24" s="117" t="s">
        <v>38</v>
      </c>
      <c r="F24" s="65"/>
      <c r="G24" s="65"/>
      <c r="H24" s="65"/>
      <c r="I24" s="65"/>
    </row>
    <row r="25" spans="2:9" x14ac:dyDescent="0.2">
      <c r="B25" s="185" t="s">
        <v>36</v>
      </c>
      <c r="C25" s="42" t="s">
        <v>297</v>
      </c>
      <c r="D25" s="185" t="s">
        <v>312</v>
      </c>
      <c r="E25" s="186" t="s">
        <v>38</v>
      </c>
      <c r="F25" s="44"/>
      <c r="G25" s="44"/>
      <c r="H25" s="44"/>
      <c r="I25" s="44"/>
    </row>
    <row r="26" spans="2:9" x14ac:dyDescent="0.2">
      <c r="B26" s="66" t="s">
        <v>36</v>
      </c>
      <c r="C26" s="116" t="s">
        <v>298</v>
      </c>
      <c r="D26" s="66" t="s">
        <v>310</v>
      </c>
      <c r="E26" s="117" t="s">
        <v>38</v>
      </c>
      <c r="F26" s="65"/>
      <c r="G26" s="65"/>
      <c r="H26" s="65"/>
      <c r="I26" s="65"/>
    </row>
    <row r="27" spans="2:9" x14ac:dyDescent="0.2">
      <c r="B27" s="185" t="s">
        <v>36</v>
      </c>
      <c r="C27" s="42" t="s">
        <v>302</v>
      </c>
      <c r="D27" s="185" t="s">
        <v>333</v>
      </c>
      <c r="E27" s="186" t="s">
        <v>38</v>
      </c>
      <c r="F27" s="44"/>
      <c r="G27" s="44"/>
      <c r="H27" s="44"/>
      <c r="I27" s="44"/>
    </row>
    <row r="28" spans="2:9" x14ac:dyDescent="0.2">
      <c r="B28" s="66" t="s">
        <v>36</v>
      </c>
      <c r="C28" s="116" t="s">
        <v>303</v>
      </c>
      <c r="D28" s="116" t="s">
        <v>303</v>
      </c>
      <c r="E28" s="117" t="s">
        <v>38</v>
      </c>
      <c r="F28" s="65"/>
      <c r="G28" s="65"/>
      <c r="H28" s="65"/>
      <c r="I28" s="65"/>
    </row>
    <row r="29" spans="2:9" x14ac:dyDescent="0.2">
      <c r="B29" s="185" t="s">
        <v>36</v>
      </c>
      <c r="C29" s="42" t="s">
        <v>325</v>
      </c>
      <c r="D29" s="42" t="s">
        <v>334</v>
      </c>
      <c r="E29" s="186" t="s">
        <v>38</v>
      </c>
      <c r="F29" s="44"/>
      <c r="G29" s="44"/>
      <c r="H29" s="44"/>
      <c r="I29" s="44"/>
    </row>
    <row r="30" spans="2:9" x14ac:dyDescent="0.2">
      <c r="B30" s="66" t="s">
        <v>36</v>
      </c>
      <c r="C30" s="116" t="s">
        <v>314</v>
      </c>
      <c r="D30" s="116" t="s">
        <v>314</v>
      </c>
      <c r="E30" s="117" t="s">
        <v>38</v>
      </c>
      <c r="F30" s="65"/>
      <c r="G30" s="65"/>
      <c r="H30" s="65"/>
      <c r="I30" s="65"/>
    </row>
    <row r="31" spans="2:9" x14ac:dyDescent="0.2">
      <c r="B31" s="185" t="s">
        <v>36</v>
      </c>
      <c r="C31" s="42" t="s">
        <v>315</v>
      </c>
      <c r="D31" s="42" t="s">
        <v>315</v>
      </c>
      <c r="E31" s="186" t="s">
        <v>38</v>
      </c>
      <c r="F31" s="44"/>
      <c r="G31" s="44"/>
      <c r="H31" s="44"/>
      <c r="I31" s="44"/>
    </row>
    <row r="32" spans="2:9" x14ac:dyDescent="0.2">
      <c r="B32" s="66" t="s">
        <v>36</v>
      </c>
      <c r="C32" s="116" t="s">
        <v>326</v>
      </c>
      <c r="D32" s="116" t="s">
        <v>335</v>
      </c>
      <c r="E32" s="117" t="s">
        <v>38</v>
      </c>
      <c r="F32" s="65"/>
      <c r="G32" s="65"/>
      <c r="H32" s="65"/>
      <c r="I32" s="65"/>
    </row>
    <row r="33" spans="2:9" x14ac:dyDescent="0.2">
      <c r="B33" s="185" t="s">
        <v>36</v>
      </c>
      <c r="C33" s="42" t="s">
        <v>328</v>
      </c>
      <c r="D33" s="185" t="s">
        <v>336</v>
      </c>
      <c r="E33" s="186" t="s">
        <v>38</v>
      </c>
      <c r="F33" s="44"/>
      <c r="G33" s="44"/>
      <c r="H33" s="44"/>
      <c r="I33" s="44"/>
    </row>
    <row r="34" spans="2:9" x14ac:dyDescent="0.2">
      <c r="B34" s="66" t="s">
        <v>36</v>
      </c>
      <c r="C34" s="116" t="s">
        <v>176</v>
      </c>
      <c r="D34" s="66" t="s">
        <v>177</v>
      </c>
      <c r="E34" s="117" t="s">
        <v>38</v>
      </c>
      <c r="F34" s="65"/>
      <c r="G34" s="65"/>
      <c r="H34" s="65"/>
      <c r="I34" s="65"/>
    </row>
    <row r="35" spans="2:9" x14ac:dyDescent="0.2">
      <c r="B35" s="185" t="s">
        <v>36</v>
      </c>
      <c r="C35" s="42" t="s">
        <v>178</v>
      </c>
      <c r="D35" s="185" t="s">
        <v>179</v>
      </c>
      <c r="E35" s="186" t="s">
        <v>38</v>
      </c>
      <c r="F35" s="44"/>
      <c r="G35" s="44"/>
      <c r="H35" s="44"/>
      <c r="I35" s="44"/>
    </row>
    <row r="36" spans="2:9" x14ac:dyDescent="0.2">
      <c r="B36" s="66" t="s">
        <v>36</v>
      </c>
      <c r="C36" s="116" t="s">
        <v>192</v>
      </c>
      <c r="D36" s="66" t="s">
        <v>180</v>
      </c>
      <c r="E36" s="117" t="s">
        <v>38</v>
      </c>
      <c r="F36" s="65"/>
      <c r="G36" s="65"/>
      <c r="H36" s="65"/>
      <c r="I36" s="65"/>
    </row>
    <row r="37" spans="2:9" x14ac:dyDescent="0.2">
      <c r="B37" s="49" t="s">
        <v>36</v>
      </c>
      <c r="C37" s="114" t="s">
        <v>337</v>
      </c>
      <c r="D37" s="49" t="s">
        <v>338</v>
      </c>
      <c r="E37" s="115" t="s">
        <v>38</v>
      </c>
      <c r="F37" s="48"/>
      <c r="G37" s="48"/>
      <c r="H37" s="48"/>
      <c r="I37" s="48"/>
    </row>
    <row r="38" spans="2:9" x14ac:dyDescent="0.2">
      <c r="B38" s="66" t="s">
        <v>36</v>
      </c>
      <c r="C38" s="116" t="s">
        <v>123</v>
      </c>
      <c r="D38" s="66" t="s">
        <v>171</v>
      </c>
      <c r="E38" s="86" t="s">
        <v>38</v>
      </c>
      <c r="F38" s="65"/>
      <c r="G38" s="65"/>
      <c r="H38" s="65"/>
      <c r="I38" s="65"/>
    </row>
    <row r="39" spans="2:9" x14ac:dyDescent="0.2">
      <c r="B39" s="49" t="s">
        <v>36</v>
      </c>
      <c r="C39" s="114" t="s">
        <v>339</v>
      </c>
      <c r="D39" s="49" t="s">
        <v>339</v>
      </c>
      <c r="E39" s="123" t="s">
        <v>38</v>
      </c>
      <c r="F39" s="48"/>
      <c r="G39" s="48"/>
      <c r="H39" s="48"/>
      <c r="I39" s="48"/>
    </row>
    <row r="40" spans="2:9" x14ac:dyDescent="0.2">
      <c r="B40" s="66" t="s">
        <v>36</v>
      </c>
      <c r="C40" s="116" t="s">
        <v>124</v>
      </c>
      <c r="D40" s="66" t="s">
        <v>172</v>
      </c>
      <c r="E40" s="86" t="s">
        <v>38</v>
      </c>
      <c r="F40" s="65"/>
      <c r="G40" s="65"/>
      <c r="H40" s="65"/>
      <c r="I40" s="65"/>
    </row>
    <row r="41" spans="2:9" x14ac:dyDescent="0.2">
      <c r="B41" s="49" t="s">
        <v>36</v>
      </c>
      <c r="C41" s="114" t="s">
        <v>340</v>
      </c>
      <c r="D41" s="49" t="s">
        <v>341</v>
      </c>
      <c r="E41" s="123" t="s">
        <v>38</v>
      </c>
      <c r="F41" s="48"/>
      <c r="G41" s="48"/>
      <c r="H41" s="48"/>
      <c r="I41" s="48"/>
    </row>
    <row r="42" spans="2:9" x14ac:dyDescent="0.2">
      <c r="B42" s="66" t="s">
        <v>36</v>
      </c>
      <c r="C42" s="116" t="s">
        <v>342</v>
      </c>
      <c r="D42" s="66" t="s">
        <v>343</v>
      </c>
      <c r="E42" s="86" t="s">
        <v>38</v>
      </c>
      <c r="F42" s="65"/>
      <c r="G42" s="65"/>
      <c r="H42" s="65"/>
      <c r="I42" s="65"/>
    </row>
    <row r="43" spans="2:9" ht="13.5" thickBot="1" x14ac:dyDescent="0.25">
      <c r="B43" s="196" t="s">
        <v>36</v>
      </c>
      <c r="C43" s="197" t="s">
        <v>223</v>
      </c>
      <c r="D43" s="196" t="s">
        <v>223</v>
      </c>
      <c r="E43" s="198" t="s">
        <v>38</v>
      </c>
      <c r="F43" s="199"/>
      <c r="G43" s="199"/>
      <c r="H43" s="199"/>
      <c r="I43" s="199"/>
    </row>
    <row r="47" spans="2:9" ht="13.5" thickBot="1" x14ac:dyDescent="0.25">
      <c r="B47" s="223" t="s">
        <v>48</v>
      </c>
      <c r="C47" s="223"/>
    </row>
    <row r="48" spans="2:9" x14ac:dyDescent="0.2">
      <c r="B48" s="99" t="s">
        <v>36</v>
      </c>
      <c r="C48" s="99" t="s">
        <v>49</v>
      </c>
    </row>
    <row r="49" spans="2:3" x14ac:dyDescent="0.2">
      <c r="B49" s="9" t="s">
        <v>44</v>
      </c>
      <c r="C49" s="9" t="s">
        <v>50</v>
      </c>
    </row>
    <row r="50" spans="2:3" x14ac:dyDescent="0.2">
      <c r="B50" s="7" t="s">
        <v>43</v>
      </c>
      <c r="C50" s="7" t="s">
        <v>51</v>
      </c>
    </row>
    <row r="51" spans="2:3" x14ac:dyDescent="0.2">
      <c r="B51" s="9" t="s">
        <v>52</v>
      </c>
      <c r="C51" s="9" t="s">
        <v>53</v>
      </c>
    </row>
    <row r="52" spans="2:3" ht="13.5" thickBot="1" x14ac:dyDescent="0.25">
      <c r="B52" s="3" t="s">
        <v>54</v>
      </c>
      <c r="C52" s="3" t="s">
        <v>55</v>
      </c>
    </row>
  </sheetData>
  <mergeCells count="1">
    <mergeCell ref="B47:C47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2"/>
  <dimension ref="A1:J40"/>
  <sheetViews>
    <sheetView zoomScale="88" zoomScaleNormal="100" workbookViewId="0">
      <selection activeCell="D14" sqref="D14"/>
    </sheetView>
  </sheetViews>
  <sheetFormatPr defaultRowHeight="12.75" x14ac:dyDescent="0.2"/>
  <cols>
    <col min="1" max="1" width="1.42578125" customWidth="1"/>
    <col min="2" max="2" width="16" customWidth="1"/>
    <col min="3" max="3" width="16.28515625" customWidth="1"/>
    <col min="4" max="4" width="38.140625" customWidth="1"/>
    <col min="5" max="5" width="58" customWidth="1"/>
    <col min="6" max="10" width="21.85546875" customWidth="1"/>
    <col min="12" max="12" width="13.5703125" customWidth="1"/>
  </cols>
  <sheetData>
    <row r="1" spans="1:10" ht="12.75" customHeight="1" x14ac:dyDescent="0.2">
      <c r="B1" s="103"/>
      <c r="C1" s="51"/>
      <c r="D1" s="51"/>
    </row>
    <row r="2" spans="1:10" ht="18.75" customHeight="1" x14ac:dyDescent="0.25">
      <c r="A2" s="33"/>
      <c r="B2" s="104" t="s">
        <v>56</v>
      </c>
      <c r="C2" s="104"/>
      <c r="D2" s="104"/>
      <c r="E2" s="44"/>
      <c r="F2" s="44"/>
      <c r="G2" s="44"/>
      <c r="H2" s="44"/>
      <c r="I2" s="44"/>
      <c r="J2" s="44"/>
    </row>
    <row r="3" spans="1:10" ht="12.75" customHeight="1" x14ac:dyDescent="0.2"/>
    <row r="4" spans="1:10" ht="18" customHeight="1" x14ac:dyDescent="0.2">
      <c r="B4" s="43" t="s">
        <v>57</v>
      </c>
      <c r="C4" s="43"/>
      <c r="D4" s="44"/>
      <c r="E4" s="44"/>
      <c r="F4" s="44"/>
      <c r="G4" s="44"/>
      <c r="H4" s="44"/>
      <c r="I4" s="44"/>
      <c r="J4" s="44"/>
    </row>
    <row r="5" spans="1:10" ht="15.75" customHeight="1" x14ac:dyDescent="0.2">
      <c r="B5" s="106" t="s">
        <v>58</v>
      </c>
      <c r="C5" s="106" t="s">
        <v>59</v>
      </c>
      <c r="D5" s="106" t="s">
        <v>60</v>
      </c>
      <c r="E5" s="106" t="s">
        <v>61</v>
      </c>
      <c r="F5" s="106" t="s">
        <v>62</v>
      </c>
      <c r="G5" s="106" t="s">
        <v>63</v>
      </c>
      <c r="H5" s="106" t="s">
        <v>64</v>
      </c>
      <c r="I5" s="106" t="s">
        <v>65</v>
      </c>
      <c r="J5" s="106" t="s">
        <v>66</v>
      </c>
    </row>
    <row r="6" spans="1:10" ht="30" customHeight="1" thickBot="1" x14ac:dyDescent="0.25">
      <c r="B6" s="19" t="s">
        <v>67</v>
      </c>
      <c r="C6" s="19" t="s">
        <v>68</v>
      </c>
      <c r="D6" s="19" t="s">
        <v>69</v>
      </c>
      <c r="E6" s="19" t="s">
        <v>70</v>
      </c>
      <c r="F6" s="19" t="s">
        <v>71</v>
      </c>
      <c r="G6" s="19" t="s">
        <v>72</v>
      </c>
      <c r="H6" s="19" t="s">
        <v>33</v>
      </c>
      <c r="I6" s="19" t="s">
        <v>73</v>
      </c>
      <c r="J6" s="19" t="s">
        <v>74</v>
      </c>
    </row>
    <row r="7" spans="1:10" ht="18.75" customHeight="1" x14ac:dyDescent="0.2">
      <c r="B7" s="200" t="s">
        <v>239</v>
      </c>
      <c r="C7" s="121" t="s">
        <v>193</v>
      </c>
      <c r="D7" s="121" t="s">
        <v>281</v>
      </c>
      <c r="E7" s="121" t="s">
        <v>283</v>
      </c>
      <c r="F7" s="121" t="s">
        <v>38</v>
      </c>
      <c r="G7" s="121" t="s">
        <v>77</v>
      </c>
      <c r="H7" s="121" t="s">
        <v>40</v>
      </c>
      <c r="I7" s="121"/>
      <c r="J7" s="121"/>
    </row>
    <row r="8" spans="1:10" ht="18.75" customHeight="1" x14ac:dyDescent="0.2">
      <c r="B8" s="66" t="s">
        <v>239</v>
      </c>
      <c r="C8" s="127" t="s">
        <v>193</v>
      </c>
      <c r="D8" s="127" t="s">
        <v>280</v>
      </c>
      <c r="E8" s="127" t="s">
        <v>282</v>
      </c>
      <c r="F8" s="127" t="s">
        <v>38</v>
      </c>
      <c r="G8" s="127" t="s">
        <v>77</v>
      </c>
      <c r="H8" s="127" t="s">
        <v>40</v>
      </c>
      <c r="I8" s="127"/>
      <c r="J8" s="127"/>
    </row>
    <row r="9" spans="1:10" ht="18.75" customHeight="1" x14ac:dyDescent="0.2">
      <c r="B9" s="49" t="s">
        <v>239</v>
      </c>
      <c r="C9" s="129" t="s">
        <v>193</v>
      </c>
      <c r="D9" s="129" t="s">
        <v>284</v>
      </c>
      <c r="E9" s="128" t="s">
        <v>287</v>
      </c>
      <c r="F9" s="129" t="s">
        <v>38</v>
      </c>
      <c r="G9" s="129" t="s">
        <v>77</v>
      </c>
      <c r="H9" s="129" t="s">
        <v>40</v>
      </c>
      <c r="I9" s="129"/>
      <c r="J9" s="129"/>
    </row>
    <row r="10" spans="1:10" ht="18.75" customHeight="1" x14ac:dyDescent="0.2">
      <c r="B10" s="66" t="s">
        <v>239</v>
      </c>
      <c r="C10" s="116"/>
      <c r="D10" s="66"/>
      <c r="E10" s="117"/>
      <c r="F10" s="65"/>
      <c r="G10" s="65"/>
      <c r="H10" s="65"/>
      <c r="I10" s="65"/>
      <c r="J10" s="65"/>
    </row>
    <row r="11" spans="1:10" ht="18.75" customHeight="1" x14ac:dyDescent="0.2">
      <c r="B11" s="120" t="s">
        <v>75</v>
      </c>
      <c r="C11" s="122" t="s">
        <v>193</v>
      </c>
      <c r="D11" s="122" t="s">
        <v>155</v>
      </c>
      <c r="E11" s="122" t="s">
        <v>76</v>
      </c>
      <c r="F11" s="122" t="s">
        <v>38</v>
      </c>
      <c r="G11" s="122" t="s">
        <v>77</v>
      </c>
      <c r="H11" s="122" t="s">
        <v>39</v>
      </c>
      <c r="I11" s="122"/>
      <c r="J11" s="122"/>
    </row>
    <row r="12" spans="1:10" ht="18.75" customHeight="1" x14ac:dyDescent="0.2">
      <c r="B12" s="126" t="s">
        <v>75</v>
      </c>
      <c r="C12" s="127" t="s">
        <v>193</v>
      </c>
      <c r="D12" s="127" t="s">
        <v>285</v>
      </c>
      <c r="E12" s="127" t="s">
        <v>286</v>
      </c>
      <c r="F12" s="127" t="s">
        <v>38</v>
      </c>
      <c r="G12" s="127" t="s">
        <v>77</v>
      </c>
      <c r="H12" s="127" t="s">
        <v>39</v>
      </c>
      <c r="I12" s="127"/>
      <c r="J12" s="127"/>
    </row>
    <row r="13" spans="1:10" ht="18.75" customHeight="1" x14ac:dyDescent="0.2">
      <c r="B13" s="120" t="s">
        <v>75</v>
      </c>
      <c r="C13" s="122" t="s">
        <v>193</v>
      </c>
      <c r="D13" s="122" t="s">
        <v>344</v>
      </c>
      <c r="E13" s="122" t="s">
        <v>345</v>
      </c>
      <c r="F13" s="122" t="s">
        <v>38</v>
      </c>
      <c r="G13" s="122" t="s">
        <v>77</v>
      </c>
      <c r="H13" s="122" t="s">
        <v>39</v>
      </c>
      <c r="I13" s="122"/>
      <c r="J13" s="122"/>
    </row>
    <row r="14" spans="1:10" ht="18.75" customHeight="1" x14ac:dyDescent="0.2">
      <c r="B14" s="126" t="s">
        <v>75</v>
      </c>
      <c r="C14" s="127" t="s">
        <v>193</v>
      </c>
      <c r="D14" s="127" t="s">
        <v>156</v>
      </c>
      <c r="E14" s="127" t="s">
        <v>346</v>
      </c>
      <c r="F14" s="127" t="s">
        <v>38</v>
      </c>
      <c r="G14" s="127" t="s">
        <v>77</v>
      </c>
      <c r="H14" s="127" t="s">
        <v>39</v>
      </c>
      <c r="I14" s="127"/>
      <c r="J14" s="127"/>
    </row>
    <row r="15" spans="1:10" ht="18.75" customHeight="1" x14ac:dyDescent="0.2">
      <c r="B15" s="120" t="s">
        <v>75</v>
      </c>
      <c r="C15" s="122" t="s">
        <v>193</v>
      </c>
      <c r="D15" s="122" t="s">
        <v>157</v>
      </c>
      <c r="E15" s="122" t="s">
        <v>78</v>
      </c>
      <c r="F15" s="122" t="s">
        <v>38</v>
      </c>
      <c r="G15" s="122" t="s">
        <v>77</v>
      </c>
      <c r="H15" s="122" t="s">
        <v>39</v>
      </c>
      <c r="I15" s="122"/>
      <c r="J15" s="122"/>
    </row>
    <row r="16" spans="1:10" ht="18.75" customHeight="1" x14ac:dyDescent="0.2">
      <c r="B16" s="126" t="s">
        <v>75</v>
      </c>
      <c r="C16" s="127" t="s">
        <v>193</v>
      </c>
      <c r="D16" s="127" t="s">
        <v>194</v>
      </c>
      <c r="E16" s="127" t="s">
        <v>195</v>
      </c>
      <c r="F16" s="127" t="s">
        <v>38</v>
      </c>
      <c r="G16" s="127" t="s">
        <v>77</v>
      </c>
      <c r="H16" s="127" t="s">
        <v>39</v>
      </c>
      <c r="I16" s="127"/>
      <c r="J16" s="127"/>
    </row>
    <row r="17" spans="1:10" ht="18.75" customHeight="1" x14ac:dyDescent="0.2">
      <c r="B17" s="120" t="s">
        <v>75</v>
      </c>
      <c r="C17" s="122" t="s">
        <v>193</v>
      </c>
      <c r="D17" s="122" t="s">
        <v>196</v>
      </c>
      <c r="E17" s="122" t="s">
        <v>197</v>
      </c>
      <c r="F17" s="122" t="s">
        <v>38</v>
      </c>
      <c r="G17" s="122" t="s">
        <v>77</v>
      </c>
      <c r="H17" s="122" t="s">
        <v>39</v>
      </c>
      <c r="I17" s="122"/>
      <c r="J17" s="122"/>
    </row>
    <row r="18" spans="1:10" ht="18.75" customHeight="1" x14ac:dyDescent="0.2">
      <c r="B18" s="126" t="s">
        <v>75</v>
      </c>
      <c r="C18" s="127" t="s">
        <v>193</v>
      </c>
      <c r="D18" s="127" t="s">
        <v>198</v>
      </c>
      <c r="E18" s="127" t="s">
        <v>199</v>
      </c>
      <c r="F18" s="127" t="s">
        <v>38</v>
      </c>
      <c r="G18" s="127" t="s">
        <v>77</v>
      </c>
      <c r="H18" s="127" t="s">
        <v>39</v>
      </c>
      <c r="I18" s="127"/>
      <c r="J18" s="127"/>
    </row>
    <row r="19" spans="1:10" ht="18.75" customHeight="1" x14ac:dyDescent="0.2">
      <c r="B19" s="128" t="s">
        <v>75</v>
      </c>
      <c r="C19" s="129" t="s">
        <v>193</v>
      </c>
      <c r="D19" s="129" t="s">
        <v>200</v>
      </c>
      <c r="E19" s="129" t="s">
        <v>201</v>
      </c>
      <c r="F19" s="129" t="s">
        <v>38</v>
      </c>
      <c r="G19" s="129" t="s">
        <v>77</v>
      </c>
      <c r="H19" s="129" t="s">
        <v>39</v>
      </c>
      <c r="I19" s="129"/>
      <c r="J19" s="129"/>
    </row>
    <row r="20" spans="1:10" ht="18.75" customHeight="1" x14ac:dyDescent="0.2">
      <c r="B20" s="126" t="s">
        <v>246</v>
      </c>
      <c r="C20" s="127" t="s">
        <v>193</v>
      </c>
      <c r="D20" s="127" t="s">
        <v>260</v>
      </c>
      <c r="E20" s="127" t="s">
        <v>247</v>
      </c>
      <c r="F20" s="127" t="s">
        <v>38</v>
      </c>
      <c r="G20" s="127" t="s">
        <v>77</v>
      </c>
      <c r="H20" s="127" t="s">
        <v>39</v>
      </c>
      <c r="I20" s="127"/>
      <c r="J20" s="127"/>
    </row>
    <row r="21" spans="1:10" ht="18.75" customHeight="1" x14ac:dyDescent="0.2">
      <c r="B21" s="128" t="s">
        <v>75</v>
      </c>
      <c r="C21" s="129" t="s">
        <v>193</v>
      </c>
      <c r="D21" s="129" t="s">
        <v>221</v>
      </c>
      <c r="E21" s="129" t="s">
        <v>222</v>
      </c>
      <c r="F21" s="129" t="s">
        <v>38</v>
      </c>
      <c r="G21" s="129" t="s">
        <v>77</v>
      </c>
      <c r="H21" s="129" t="s">
        <v>39</v>
      </c>
      <c r="I21" s="129"/>
      <c r="J21" s="129"/>
    </row>
    <row r="22" spans="1:10" ht="18.75" customHeight="1" x14ac:dyDescent="0.2">
      <c r="B22" s="126" t="s">
        <v>90</v>
      </c>
      <c r="C22" s="127" t="s">
        <v>193</v>
      </c>
      <c r="D22" s="127" t="s">
        <v>256</v>
      </c>
      <c r="E22" s="127" t="s">
        <v>257</v>
      </c>
      <c r="F22" s="127" t="s">
        <v>38</v>
      </c>
      <c r="G22" s="127" t="s">
        <v>77</v>
      </c>
      <c r="H22" s="127" t="s">
        <v>40</v>
      </c>
      <c r="I22" s="127"/>
      <c r="J22" s="127"/>
    </row>
    <row r="23" spans="1:10" ht="18.75" customHeight="1" x14ac:dyDescent="0.2">
      <c r="B23" s="128" t="s">
        <v>93</v>
      </c>
      <c r="C23" s="129" t="s">
        <v>193</v>
      </c>
      <c r="D23" s="129" t="s">
        <v>261</v>
      </c>
      <c r="E23" s="129" t="s">
        <v>262</v>
      </c>
      <c r="F23" s="129" t="s">
        <v>38</v>
      </c>
      <c r="G23" s="129" t="s">
        <v>77</v>
      </c>
      <c r="H23" s="129" t="s">
        <v>40</v>
      </c>
      <c r="I23" s="129"/>
      <c r="J23" s="129"/>
    </row>
    <row r="24" spans="1:10" ht="18.75" customHeight="1" x14ac:dyDescent="0.2">
      <c r="A24" s="62"/>
      <c r="B24" s="126" t="s">
        <v>81</v>
      </c>
      <c r="C24" s="127" t="s">
        <v>193</v>
      </c>
      <c r="D24" s="127" t="s">
        <v>271</v>
      </c>
      <c r="E24" s="127" t="s">
        <v>272</v>
      </c>
      <c r="F24" s="127" t="s">
        <v>38</v>
      </c>
      <c r="G24" s="127" t="s">
        <v>77</v>
      </c>
      <c r="H24" s="127" t="s">
        <v>39</v>
      </c>
      <c r="I24" s="127"/>
      <c r="J24" s="127"/>
    </row>
    <row r="25" spans="1:10" ht="18.75" customHeight="1" x14ac:dyDescent="0.2">
      <c r="A25" s="62"/>
      <c r="B25" s="128" t="s">
        <v>81</v>
      </c>
      <c r="C25" s="129" t="s">
        <v>193</v>
      </c>
      <c r="D25" s="129" t="s">
        <v>273</v>
      </c>
      <c r="E25" s="129" t="s">
        <v>274</v>
      </c>
      <c r="F25" s="129" t="s">
        <v>38</v>
      </c>
      <c r="G25" s="129" t="s">
        <v>77</v>
      </c>
      <c r="H25" s="129" t="s">
        <v>39</v>
      </c>
      <c r="I25" s="129"/>
      <c r="J25" s="129"/>
    </row>
    <row r="26" spans="1:10" ht="18.75" customHeight="1" x14ac:dyDescent="0.2">
      <c r="A26" s="61"/>
      <c r="B26" s="128" t="s">
        <v>81</v>
      </c>
      <c r="C26" s="129" t="s">
        <v>193</v>
      </c>
      <c r="D26" s="129" t="s">
        <v>289</v>
      </c>
      <c r="E26" s="129" t="s">
        <v>288</v>
      </c>
      <c r="F26" s="129" t="s">
        <v>38</v>
      </c>
      <c r="G26" s="129" t="s">
        <v>77</v>
      </c>
      <c r="H26" s="129" t="s">
        <v>39</v>
      </c>
      <c r="I26" s="129"/>
      <c r="J26" s="129"/>
    </row>
    <row r="27" spans="1:10" ht="18.75" customHeight="1" x14ac:dyDescent="0.2">
      <c r="A27" s="62"/>
      <c r="B27" s="126" t="s">
        <v>81</v>
      </c>
      <c r="C27" s="127" t="s">
        <v>193</v>
      </c>
      <c r="D27" s="127" t="s">
        <v>292</v>
      </c>
      <c r="E27" s="127" t="s">
        <v>293</v>
      </c>
      <c r="F27" s="127" t="s">
        <v>38</v>
      </c>
      <c r="G27" s="127" t="s">
        <v>266</v>
      </c>
      <c r="H27" s="127" t="s">
        <v>40</v>
      </c>
      <c r="I27" s="127"/>
      <c r="J27" s="127"/>
    </row>
    <row r="28" spans="1:10" ht="18.75" customHeight="1" x14ac:dyDescent="0.2">
      <c r="A28" s="62"/>
      <c r="B28" s="128"/>
      <c r="C28" s="129"/>
      <c r="D28" s="129"/>
      <c r="E28" s="129"/>
      <c r="F28" s="129"/>
      <c r="G28" s="129"/>
      <c r="H28" s="129"/>
      <c r="I28" s="129"/>
      <c r="J28" s="129"/>
    </row>
    <row r="29" spans="1:10" ht="18.95" customHeight="1" x14ac:dyDescent="0.2">
      <c r="I29" s="129"/>
      <c r="J29" s="129"/>
    </row>
    <row r="31" spans="1:10" x14ac:dyDescent="0.2">
      <c r="B31" s="224" t="s">
        <v>82</v>
      </c>
      <c r="C31" s="224"/>
      <c r="D31" s="224"/>
    </row>
    <row r="32" spans="1:10" x14ac:dyDescent="0.2">
      <c r="B32" s="7" t="s">
        <v>75</v>
      </c>
      <c r="C32" s="7" t="s">
        <v>83</v>
      </c>
      <c r="D32" s="7"/>
    </row>
    <row r="33" spans="2:6" x14ac:dyDescent="0.2">
      <c r="B33" s="9" t="s">
        <v>79</v>
      </c>
      <c r="C33" s="9" t="s">
        <v>84</v>
      </c>
      <c r="D33" s="9"/>
    </row>
    <row r="34" spans="2:6" x14ac:dyDescent="0.2">
      <c r="B34" s="7" t="s">
        <v>85</v>
      </c>
      <c r="C34" s="7" t="s">
        <v>86</v>
      </c>
      <c r="D34" s="7"/>
    </row>
    <row r="35" spans="2:6" x14ac:dyDescent="0.2">
      <c r="B35" s="9" t="s">
        <v>81</v>
      </c>
      <c r="C35" s="9" t="s">
        <v>87</v>
      </c>
      <c r="D35" s="9"/>
    </row>
    <row r="36" spans="2:6" x14ac:dyDescent="0.2">
      <c r="B36" s="7" t="s">
        <v>88</v>
      </c>
      <c r="C36" s="7" t="s">
        <v>89</v>
      </c>
      <c r="D36" s="7" t="s">
        <v>162</v>
      </c>
      <c r="F36" s="7" t="s">
        <v>279</v>
      </c>
    </row>
    <row r="37" spans="2:6" x14ac:dyDescent="0.2">
      <c r="B37" s="9" t="s">
        <v>90</v>
      </c>
      <c r="C37" s="9" t="s">
        <v>91</v>
      </c>
      <c r="D37" s="9" t="s">
        <v>92</v>
      </c>
    </row>
    <row r="38" spans="2:6" x14ac:dyDescent="0.2">
      <c r="B38" s="7" t="s">
        <v>93</v>
      </c>
      <c r="C38" s="7" t="s">
        <v>94</v>
      </c>
      <c r="D38" s="7" t="s">
        <v>95</v>
      </c>
    </row>
    <row r="39" spans="2:6" x14ac:dyDescent="0.2">
      <c r="B39" s="9" t="s">
        <v>96</v>
      </c>
      <c r="C39" s="9" t="s">
        <v>97</v>
      </c>
      <c r="D39" s="9" t="s">
        <v>92</v>
      </c>
    </row>
    <row r="40" spans="2:6" ht="13.5" thickBot="1" x14ac:dyDescent="0.25">
      <c r="B40" s="3" t="s">
        <v>80</v>
      </c>
      <c r="C40" s="3" t="s">
        <v>98</v>
      </c>
      <c r="D40" s="3"/>
    </row>
  </sheetData>
  <mergeCells count="1">
    <mergeCell ref="B31:D31"/>
  </mergeCells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9D449-1231-4515-8F96-250B133B6D2D}">
  <dimension ref="B2:V45"/>
  <sheetViews>
    <sheetView topLeftCell="C1" zoomScale="140" zoomScaleNormal="140" workbookViewId="0">
      <selection activeCell="D18" sqref="D18"/>
    </sheetView>
  </sheetViews>
  <sheetFormatPr defaultRowHeight="12.75" x14ac:dyDescent="0.2"/>
  <cols>
    <col min="2" max="2" width="17.85546875" customWidth="1"/>
    <col min="3" max="3" width="15.85546875" customWidth="1"/>
    <col min="4" max="4" width="19.28515625" customWidth="1"/>
    <col min="5" max="5" width="20.5703125" customWidth="1"/>
    <col min="6" max="7" width="10.7109375" customWidth="1"/>
    <col min="9" max="9" width="9.28515625" customWidth="1"/>
    <col min="15" max="15" width="12.140625" customWidth="1"/>
    <col min="21" max="21" width="13.140625" customWidth="1"/>
  </cols>
  <sheetData>
    <row r="2" spans="2:18" x14ac:dyDescent="0.2">
      <c r="E2" s="36" t="s">
        <v>100</v>
      </c>
      <c r="F2" s="34"/>
      <c r="G2" s="34"/>
      <c r="H2" s="34"/>
      <c r="I2" s="34"/>
      <c r="J2" s="34"/>
      <c r="K2" s="34"/>
      <c r="L2" s="34"/>
      <c r="M2" s="34"/>
      <c r="N2" s="34"/>
      <c r="O2" s="34"/>
      <c r="P2" s="37"/>
      <c r="Q2" s="35"/>
      <c r="R2" s="35"/>
    </row>
    <row r="3" spans="2:18" ht="38.25" x14ac:dyDescent="0.2">
      <c r="B3" s="18" t="s">
        <v>60</v>
      </c>
      <c r="C3" s="18" t="s">
        <v>101</v>
      </c>
      <c r="D3" s="18" t="s">
        <v>102</v>
      </c>
      <c r="E3" s="18" t="s">
        <v>103</v>
      </c>
      <c r="F3" s="18" t="s">
        <v>294</v>
      </c>
      <c r="G3" s="18" t="s">
        <v>304</v>
      </c>
      <c r="H3" s="18" t="s">
        <v>105</v>
      </c>
      <c r="I3" s="16" t="s">
        <v>210</v>
      </c>
      <c r="J3" s="16" t="s">
        <v>131</v>
      </c>
      <c r="K3" s="16" t="s">
        <v>132</v>
      </c>
      <c r="L3" s="16" t="s">
        <v>133</v>
      </c>
      <c r="M3" s="16" t="s">
        <v>134</v>
      </c>
      <c r="N3" s="16" t="s">
        <v>135</v>
      </c>
      <c r="O3" s="16" t="s">
        <v>106</v>
      </c>
      <c r="P3" s="18" t="s">
        <v>108</v>
      </c>
      <c r="Q3" s="18" t="s">
        <v>109</v>
      </c>
      <c r="R3" s="18" t="s">
        <v>110</v>
      </c>
    </row>
    <row r="4" spans="2:18" ht="63.75" x14ac:dyDescent="0.2">
      <c r="B4" s="19" t="s">
        <v>111</v>
      </c>
      <c r="C4" s="19" t="s">
        <v>70</v>
      </c>
      <c r="D4" s="19" t="s">
        <v>112</v>
      </c>
      <c r="E4" s="19" t="s">
        <v>113</v>
      </c>
      <c r="F4" s="19" t="s">
        <v>295</v>
      </c>
      <c r="G4" s="19"/>
      <c r="H4" s="19" t="s">
        <v>115</v>
      </c>
      <c r="I4" s="225" t="s">
        <v>300</v>
      </c>
      <c r="J4" s="225"/>
      <c r="K4" s="225"/>
      <c r="L4" s="225"/>
      <c r="M4" s="225"/>
      <c r="N4" s="225"/>
      <c r="O4" s="225"/>
      <c r="P4" s="19"/>
      <c r="Q4" s="19" t="s">
        <v>203</v>
      </c>
      <c r="R4" s="19" t="s">
        <v>208</v>
      </c>
    </row>
    <row r="5" spans="2:18" x14ac:dyDescent="0.2">
      <c r="B5" s="46" t="str">
        <f>SEC_Processes!D27</f>
        <v>REFINARY</v>
      </c>
      <c r="C5" s="46" t="str">
        <f>SEC_Processes!E27</f>
        <v>Refinary</v>
      </c>
      <c r="D5" s="93" t="s">
        <v>296</v>
      </c>
      <c r="E5" s="93"/>
      <c r="F5" s="87"/>
      <c r="G5" s="87"/>
      <c r="H5" s="88">
        <v>1</v>
      </c>
      <c r="I5" s="87">
        <v>566</v>
      </c>
      <c r="J5" s="87">
        <f>$I$5</f>
        <v>566</v>
      </c>
      <c r="K5" s="87">
        <f t="shared" ref="K5:O5" si="0">$I$5</f>
        <v>566</v>
      </c>
      <c r="L5" s="87">
        <f t="shared" si="0"/>
        <v>566</v>
      </c>
      <c r="M5" s="87">
        <f t="shared" si="0"/>
        <v>566</v>
      </c>
      <c r="N5" s="87">
        <f t="shared" si="0"/>
        <v>566</v>
      </c>
      <c r="O5" s="87">
        <f t="shared" si="0"/>
        <v>566</v>
      </c>
      <c r="P5" s="89">
        <v>1</v>
      </c>
      <c r="Q5" s="173">
        <v>7.3</v>
      </c>
      <c r="R5" s="27">
        <v>13.59</v>
      </c>
    </row>
    <row r="6" spans="2:18" ht="13.5" thickBot="1" x14ac:dyDescent="0.25">
      <c r="B6" s="165"/>
      <c r="C6" s="61"/>
      <c r="D6" s="169"/>
      <c r="E6" s="183" t="s">
        <v>302</v>
      </c>
      <c r="F6" s="167">
        <f t="shared" ref="F6:F14" si="1">V36</f>
        <v>1.86</v>
      </c>
      <c r="G6" s="167">
        <v>0.04</v>
      </c>
      <c r="H6" s="170"/>
      <c r="I6" s="167"/>
      <c r="J6" s="167"/>
      <c r="K6" s="167"/>
      <c r="L6" s="167"/>
      <c r="M6" s="167"/>
      <c r="N6" s="167"/>
      <c r="O6" s="167"/>
      <c r="P6" s="171"/>
      <c r="Q6" s="172"/>
      <c r="R6" s="172"/>
    </row>
    <row r="7" spans="2:18" x14ac:dyDescent="0.2">
      <c r="B7" s="166"/>
      <c r="C7" s="24"/>
      <c r="D7" s="24"/>
      <c r="E7" s="184" t="s">
        <v>298</v>
      </c>
      <c r="F7" s="168">
        <f t="shared" si="1"/>
        <v>10.005000000000001</v>
      </c>
      <c r="G7" s="168">
        <v>0.23</v>
      </c>
    </row>
    <row r="8" spans="2:18" x14ac:dyDescent="0.2">
      <c r="B8" s="180"/>
      <c r="C8" s="61"/>
      <c r="D8" s="61"/>
      <c r="E8" s="183" t="s">
        <v>325</v>
      </c>
      <c r="F8" s="167">
        <f t="shared" si="1"/>
        <v>4.3</v>
      </c>
      <c r="G8" s="167">
        <v>0.1</v>
      </c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</row>
    <row r="9" spans="2:18" x14ac:dyDescent="0.2">
      <c r="B9" s="166"/>
      <c r="C9" s="24"/>
      <c r="D9" s="24"/>
      <c r="E9" s="184" t="s">
        <v>297</v>
      </c>
      <c r="F9" s="168">
        <f t="shared" si="1"/>
        <v>15.479999999999999</v>
      </c>
      <c r="G9" s="168">
        <v>0.36</v>
      </c>
    </row>
    <row r="10" spans="2:18" x14ac:dyDescent="0.2">
      <c r="B10" s="62"/>
      <c r="C10" s="62"/>
      <c r="D10" s="62"/>
      <c r="E10" s="183" t="s">
        <v>303</v>
      </c>
      <c r="F10" s="167">
        <f t="shared" si="1"/>
        <v>2.4299999999999997</v>
      </c>
      <c r="G10" s="167">
        <v>0.06</v>
      </c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</row>
    <row r="11" spans="2:18" x14ac:dyDescent="0.2">
      <c r="E11" s="184" t="s">
        <v>314</v>
      </c>
      <c r="F11" s="168">
        <f t="shared" si="1"/>
        <v>1.4525000000000001</v>
      </c>
      <c r="G11" s="168">
        <v>3.5000000000000003E-2</v>
      </c>
    </row>
    <row r="12" spans="2:18" x14ac:dyDescent="0.2">
      <c r="B12" s="62"/>
      <c r="C12" s="62"/>
      <c r="D12" s="62"/>
      <c r="E12" s="183" t="s">
        <v>315</v>
      </c>
      <c r="F12" s="167">
        <f t="shared" si="1"/>
        <v>1.9750000000000001</v>
      </c>
      <c r="G12" s="167">
        <v>0.05</v>
      </c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</row>
    <row r="13" spans="2:18" x14ac:dyDescent="0.2">
      <c r="E13" s="184" t="s">
        <v>326</v>
      </c>
      <c r="F13" s="168">
        <f t="shared" si="1"/>
        <v>1.8800000000000001</v>
      </c>
      <c r="G13" s="168">
        <v>0.04</v>
      </c>
    </row>
    <row r="14" spans="2:18" x14ac:dyDescent="0.2">
      <c r="B14" s="62"/>
      <c r="C14" s="62"/>
      <c r="D14" s="62"/>
      <c r="E14" s="204" t="s">
        <v>204</v>
      </c>
      <c r="F14" s="167">
        <f t="shared" si="1"/>
        <v>2.4862500000000001</v>
      </c>
      <c r="G14" s="167">
        <v>8.5000000000000006E-2</v>
      </c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</row>
    <row r="15" spans="2:18" x14ac:dyDescent="0.2">
      <c r="B15" s="164"/>
      <c r="C15" s="164"/>
      <c r="D15" s="164"/>
      <c r="E15" s="181" t="str">
        <f>SEC_Comm!C13</f>
        <v>CO2</v>
      </c>
      <c r="F15" s="182"/>
      <c r="G15" s="182"/>
      <c r="H15" s="164"/>
      <c r="I15" s="164"/>
      <c r="J15" s="164"/>
      <c r="K15" s="164"/>
      <c r="L15" s="164"/>
      <c r="M15" s="164"/>
      <c r="N15" s="164"/>
      <c r="O15" s="164"/>
      <c r="P15" s="164"/>
      <c r="Q15" s="164"/>
      <c r="R15" s="164"/>
    </row>
    <row r="32" spans="5:6" x14ac:dyDescent="0.2">
      <c r="E32">
        <v>13475000</v>
      </c>
      <c r="F32" t="s">
        <v>301</v>
      </c>
    </row>
    <row r="33" spans="5:22" x14ac:dyDescent="0.2">
      <c r="E33">
        <f>P36*E32/1000000</f>
        <v>564.17129999999997</v>
      </c>
    </row>
    <row r="34" spans="5:22" x14ac:dyDescent="0.2">
      <c r="K34" s="24"/>
      <c r="L34" s="168"/>
      <c r="M34" s="168"/>
      <c r="P34" t="s">
        <v>319</v>
      </c>
      <c r="Q34" s="24" t="s">
        <v>320</v>
      </c>
    </row>
    <row r="35" spans="5:22" x14ac:dyDescent="0.2">
      <c r="P35" t="s">
        <v>318</v>
      </c>
      <c r="Q35" t="s">
        <v>318</v>
      </c>
      <c r="T35" t="s">
        <v>38</v>
      </c>
    </row>
    <row r="36" spans="5:22" x14ac:dyDescent="0.2">
      <c r="J36">
        <v>1</v>
      </c>
      <c r="K36" t="s">
        <v>299</v>
      </c>
      <c r="L36">
        <v>0.04</v>
      </c>
      <c r="M36" t="s">
        <v>309</v>
      </c>
      <c r="P36">
        <v>41.868000000000002</v>
      </c>
      <c r="Q36">
        <v>46.5</v>
      </c>
      <c r="S36">
        <v>1</v>
      </c>
      <c r="T36" cm="1">
        <f t="array" ref="T36:T44">L36:L44*Q36:Q44</f>
        <v>1.86</v>
      </c>
      <c r="U36" t="str" cm="1">
        <f t="array" ref="U36:U44">M36:M44</f>
        <v>Oil Gas liquid</v>
      </c>
      <c r="V36" cm="1">
        <f t="array" ref="V36:V44">_xlfn.ANCHORARRAY(T36)/S36</f>
        <v>1.86</v>
      </c>
    </row>
    <row r="37" spans="5:22" x14ac:dyDescent="0.2">
      <c r="L37">
        <v>0.23</v>
      </c>
      <c r="M37" t="s">
        <v>310</v>
      </c>
      <c r="Q37">
        <v>43.5</v>
      </c>
      <c r="T37">
        <v>10.005000000000001</v>
      </c>
      <c r="U37" t="str">
        <v>Gasoline</v>
      </c>
      <c r="V37">
        <v>10.005000000000001</v>
      </c>
    </row>
    <row r="38" spans="5:22" x14ac:dyDescent="0.2">
      <c r="L38">
        <v>0.1</v>
      </c>
      <c r="M38" t="s">
        <v>311</v>
      </c>
      <c r="Q38">
        <v>43</v>
      </c>
      <c r="T38">
        <v>4.3</v>
      </c>
      <c r="U38" t="str">
        <v>Jet fuel</v>
      </c>
      <c r="V38">
        <v>4.3</v>
      </c>
    </row>
    <row r="39" spans="5:22" x14ac:dyDescent="0.2">
      <c r="L39">
        <v>0.36</v>
      </c>
      <c r="M39" t="s">
        <v>312</v>
      </c>
      <c r="Q39">
        <v>43</v>
      </c>
      <c r="T39">
        <v>15.479999999999999</v>
      </c>
      <c r="U39" t="str">
        <v>Diesel</v>
      </c>
      <c r="V39">
        <v>15.479999999999999</v>
      </c>
    </row>
    <row r="40" spans="5:22" x14ac:dyDescent="0.2">
      <c r="L40">
        <v>0.06</v>
      </c>
      <c r="M40" t="s">
        <v>313</v>
      </c>
      <c r="Q40">
        <v>40.5</v>
      </c>
      <c r="T40">
        <v>2.4299999999999997</v>
      </c>
      <c r="U40" t="str">
        <v>Oil fuel</v>
      </c>
      <c r="V40">
        <v>2.4299999999999997</v>
      </c>
    </row>
    <row r="41" spans="5:22" x14ac:dyDescent="0.2">
      <c r="L41">
        <v>3.5000000000000003E-2</v>
      </c>
      <c r="M41" t="s">
        <v>314</v>
      </c>
      <c r="Q41">
        <v>41.5</v>
      </c>
      <c r="T41">
        <v>1.4525000000000001</v>
      </c>
      <c r="U41" t="str">
        <v>Lubricants</v>
      </c>
      <c r="V41">
        <v>1.4525000000000001</v>
      </c>
    </row>
    <row r="42" spans="5:22" x14ac:dyDescent="0.2">
      <c r="L42">
        <v>0.05</v>
      </c>
      <c r="M42" t="s">
        <v>315</v>
      </c>
      <c r="Q42">
        <v>39.5</v>
      </c>
      <c r="T42">
        <v>1.9750000000000001</v>
      </c>
      <c r="U42" t="str">
        <v>Bitumen</v>
      </c>
      <c r="V42">
        <v>1.9750000000000001</v>
      </c>
    </row>
    <row r="43" spans="5:22" x14ac:dyDescent="0.2">
      <c r="L43">
        <v>0.04</v>
      </c>
      <c r="M43" t="s">
        <v>317</v>
      </c>
      <c r="Q43">
        <v>47</v>
      </c>
      <c r="T43">
        <v>1.8800000000000001</v>
      </c>
      <c r="U43" t="str">
        <v>ethy and prop</v>
      </c>
      <c r="V43">
        <v>1.8800000000000001</v>
      </c>
    </row>
    <row r="44" spans="5:22" x14ac:dyDescent="0.2">
      <c r="L44">
        <v>8.5000000000000006E-2</v>
      </c>
      <c r="M44" t="s">
        <v>316</v>
      </c>
      <c r="Q44">
        <v>29.25</v>
      </c>
      <c r="T44">
        <v>2.4862500000000001</v>
      </c>
      <c r="U44" t="str">
        <v>waste</v>
      </c>
      <c r="V44">
        <v>2.4862500000000001</v>
      </c>
    </row>
    <row r="45" spans="5:22" x14ac:dyDescent="0.2">
      <c r="L45">
        <f>SUM(L36:L44)</f>
        <v>1.0000000000000002</v>
      </c>
      <c r="T45">
        <f>SUM(_xlfn.ANCHORARRAY(T36))</f>
        <v>41.868749999999999</v>
      </c>
    </row>
  </sheetData>
  <mergeCells count="1">
    <mergeCell ref="I4:O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3"/>
  <dimension ref="B2:AD36"/>
  <sheetViews>
    <sheetView zoomScale="76" zoomScaleNormal="85" workbookViewId="0">
      <selection activeCell="K31" sqref="K31"/>
    </sheetView>
  </sheetViews>
  <sheetFormatPr defaultRowHeight="12.75" x14ac:dyDescent="0.2"/>
  <cols>
    <col min="1" max="1" width="3" customWidth="1"/>
    <col min="2" max="2" width="19.5703125" customWidth="1"/>
    <col min="3" max="3" width="44.28515625" customWidth="1"/>
    <col min="4" max="4" width="10.28515625" customWidth="1"/>
    <col min="5" max="5" width="10.5703125" customWidth="1"/>
    <col min="6" max="6" width="11" customWidth="1"/>
    <col min="7" max="7" width="25.140625" customWidth="1"/>
    <col min="8" max="8" width="7.5703125" customWidth="1"/>
    <col min="9" max="9" width="11" customWidth="1"/>
    <col min="10" max="10" width="15.42578125" customWidth="1"/>
    <col min="11" max="14" width="7.5703125" customWidth="1"/>
    <col min="15" max="15" width="16" customWidth="1"/>
    <col min="16" max="16" width="11" customWidth="1"/>
    <col min="17" max="17" width="15" customWidth="1"/>
    <col min="18" max="18" width="13" customWidth="1"/>
    <col min="19" max="19" width="18" customWidth="1"/>
    <col min="20" max="20" width="15" customWidth="1"/>
    <col min="21" max="21" width="15.28515625" customWidth="1"/>
    <col min="24" max="24" width="12.5703125" bestFit="1" customWidth="1"/>
  </cols>
  <sheetData>
    <row r="2" spans="2:30" ht="16.5" customHeight="1" x14ac:dyDescent="0.25">
      <c r="B2" s="102" t="s">
        <v>99</v>
      </c>
      <c r="C2" s="59"/>
      <c r="E2" s="26"/>
      <c r="H2" s="29"/>
      <c r="I2" s="22"/>
      <c r="J2" s="22"/>
      <c r="K2" s="22"/>
      <c r="L2" s="22"/>
      <c r="M2" s="22"/>
      <c r="N2" s="22"/>
      <c r="O2" s="30"/>
      <c r="P2" s="30"/>
      <c r="Q2" s="32"/>
      <c r="R2" s="27"/>
      <c r="S2" s="28"/>
    </row>
    <row r="3" spans="2:30" x14ac:dyDescent="0.2">
      <c r="B3" s="31"/>
      <c r="C3" s="25"/>
      <c r="E3" s="26"/>
      <c r="H3" s="29"/>
      <c r="I3" s="29"/>
      <c r="J3" s="29"/>
      <c r="K3" s="29"/>
      <c r="L3" s="29"/>
      <c r="M3" s="29"/>
      <c r="N3" s="29"/>
      <c r="O3" s="30"/>
      <c r="P3" s="30"/>
      <c r="Q3" s="32"/>
      <c r="R3" s="27"/>
      <c r="S3" s="28"/>
    </row>
    <row r="4" spans="2:30" ht="15.75" customHeight="1" x14ac:dyDescent="0.2">
      <c r="E4" s="36" t="s">
        <v>100</v>
      </c>
      <c r="F4" s="34"/>
      <c r="G4" s="34"/>
      <c r="H4" s="34"/>
      <c r="I4" s="34"/>
      <c r="J4" s="34"/>
      <c r="K4" s="34"/>
      <c r="L4" s="34"/>
      <c r="M4" s="34"/>
      <c r="N4" s="34"/>
      <c r="O4" s="37"/>
      <c r="P4" s="37"/>
      <c r="Q4" s="35"/>
      <c r="R4" s="35"/>
      <c r="S4" s="35"/>
    </row>
    <row r="5" spans="2:30" s="24" customFormat="1" ht="49.9" customHeight="1" x14ac:dyDescent="0.2">
      <c r="B5" s="18" t="s">
        <v>60</v>
      </c>
      <c r="C5" s="18" t="s">
        <v>101</v>
      </c>
      <c r="D5" s="18" t="s">
        <v>102</v>
      </c>
      <c r="E5" s="18" t="s">
        <v>103</v>
      </c>
      <c r="F5" s="18" t="s">
        <v>104</v>
      </c>
      <c r="G5" s="18" t="s">
        <v>105</v>
      </c>
      <c r="H5" s="16" t="s">
        <v>202</v>
      </c>
      <c r="I5" s="16" t="s">
        <v>131</v>
      </c>
      <c r="J5" s="16" t="s">
        <v>132</v>
      </c>
      <c r="K5" s="16" t="s">
        <v>133</v>
      </c>
      <c r="L5" s="16" t="s">
        <v>134</v>
      </c>
      <c r="M5" s="16" t="s">
        <v>135</v>
      </c>
      <c r="N5" s="16" t="s">
        <v>106</v>
      </c>
      <c r="O5" s="18" t="s">
        <v>107</v>
      </c>
      <c r="P5" s="18" t="s">
        <v>327</v>
      </c>
      <c r="Q5" s="18" t="s">
        <v>211</v>
      </c>
      <c r="R5" s="18" t="s">
        <v>109</v>
      </c>
      <c r="S5" s="18" t="s">
        <v>110</v>
      </c>
      <c r="T5"/>
      <c r="W5"/>
      <c r="X5"/>
    </row>
    <row r="6" spans="2:30" ht="53.25" customHeight="1" x14ac:dyDescent="0.2">
      <c r="B6" s="19" t="s">
        <v>111</v>
      </c>
      <c r="C6" s="19" t="s">
        <v>70</v>
      </c>
      <c r="D6" s="19" t="s">
        <v>112</v>
      </c>
      <c r="E6" s="19" t="s">
        <v>113</v>
      </c>
      <c r="F6" s="19" t="s">
        <v>114</v>
      </c>
      <c r="G6" s="19" t="s">
        <v>115</v>
      </c>
      <c r="H6" s="225" t="s">
        <v>116</v>
      </c>
      <c r="I6" s="225"/>
      <c r="J6" s="225"/>
      <c r="K6" s="225"/>
      <c r="L6" s="225"/>
      <c r="M6" s="225"/>
      <c r="N6" s="225"/>
      <c r="O6" s="19" t="s">
        <v>117</v>
      </c>
      <c r="P6" s="19" t="s">
        <v>118</v>
      </c>
      <c r="Q6" s="19" t="s">
        <v>118</v>
      </c>
      <c r="R6" s="19" t="s">
        <v>203</v>
      </c>
      <c r="S6" s="19" t="s">
        <v>208</v>
      </c>
      <c r="Y6" s="54"/>
      <c r="Z6" s="23"/>
    </row>
    <row r="7" spans="2:30" ht="15.75" customHeight="1" x14ac:dyDescent="0.2">
      <c r="B7" s="46" t="str">
        <f>SEC_Processes!D15</f>
        <v>ELE_EX_HC</v>
      </c>
      <c r="C7" s="46" t="str">
        <f>SEC_Processes!E15</f>
        <v>Existing Hard Coal Power Plants</v>
      </c>
      <c r="D7" s="93" t="str">
        <f>SEC_Comm!C22</f>
        <v>SOLID</v>
      </c>
      <c r="E7" s="93" t="str">
        <f>SEC_Comm!C7</f>
        <v>ELEC_HV</v>
      </c>
      <c r="F7" s="87">
        <f>(BALANCE!E9*3.6/10^3)/(BALANCE!G9*BALANCE!H9/10^6)</f>
        <v>0.38511826934506121</v>
      </c>
      <c r="G7" s="88">
        <v>31.536000000000001</v>
      </c>
      <c r="H7" s="87">
        <f>BALANCE!D9/1000</f>
        <v>0.6</v>
      </c>
      <c r="I7" s="87">
        <f>H7</f>
        <v>0.6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9">
        <v>1</v>
      </c>
      <c r="P7" s="89">
        <v>0.9</v>
      </c>
      <c r="Q7" s="88">
        <v>0.92</v>
      </c>
      <c r="R7" s="89">
        <v>47.5</v>
      </c>
      <c r="S7" s="88">
        <v>5.26</v>
      </c>
    </row>
    <row r="8" spans="2:30" ht="15.75" customHeight="1" thickBot="1" x14ac:dyDescent="0.25">
      <c r="B8" s="63" t="str">
        <f>SEC_Processes!D16</f>
        <v>ELE_EX_OILGAS</v>
      </c>
      <c r="C8" s="63" t="str">
        <f>SEC_Processes!E16</f>
        <v>Existing Syngas Power Plants</v>
      </c>
      <c r="D8" s="97" t="str">
        <f>SEC_Comm!C24</f>
        <v>OILGAS</v>
      </c>
      <c r="E8" s="94" t="str">
        <f>SEC_Comm!C7</f>
        <v>ELEC_HV</v>
      </c>
      <c r="F8" s="90">
        <f>(BALANCE!E10*3.6/10^3)/(BALANCE!G10*BALANCE!H10/10^6)</f>
        <v>0.54768089053803337</v>
      </c>
      <c r="G8" s="91">
        <v>31.536000000000001</v>
      </c>
      <c r="H8" s="90">
        <f>BALANCE!D10/1000</f>
        <v>0.55000000000000004</v>
      </c>
      <c r="I8" s="90">
        <f>H8</f>
        <v>0.55000000000000004</v>
      </c>
      <c r="J8" s="90">
        <v>0.55000000000000004</v>
      </c>
      <c r="K8" s="90">
        <v>0</v>
      </c>
      <c r="L8" s="90">
        <v>0</v>
      </c>
      <c r="M8" s="90">
        <v>0</v>
      </c>
      <c r="N8" s="90">
        <v>0</v>
      </c>
      <c r="O8" s="92">
        <v>1</v>
      </c>
      <c r="P8" s="92">
        <v>0.88</v>
      </c>
      <c r="Q8" s="91">
        <v>0.87</v>
      </c>
      <c r="R8" s="142">
        <v>61</v>
      </c>
      <c r="S8" s="142">
        <v>1.1100000000000001</v>
      </c>
    </row>
    <row r="12" spans="2:30" ht="15.75" x14ac:dyDescent="0.25">
      <c r="B12" s="102" t="s">
        <v>164</v>
      </c>
      <c r="C12" s="59"/>
      <c r="U12" s="52"/>
      <c r="V12" s="53"/>
      <c r="Y12" s="53"/>
      <c r="Z12" s="53"/>
      <c r="AA12" s="53"/>
      <c r="AB12" s="53"/>
      <c r="AC12" s="53"/>
      <c r="AD12" s="53"/>
    </row>
    <row r="13" spans="2:30" x14ac:dyDescent="0.2">
      <c r="I13" s="50"/>
      <c r="J13" s="50"/>
      <c r="K13" s="50"/>
      <c r="L13" s="50"/>
      <c r="M13" s="50"/>
      <c r="N13" s="50"/>
      <c r="V13" s="54"/>
      <c r="Y13" s="54"/>
      <c r="Z13" s="54"/>
      <c r="AA13" s="54"/>
      <c r="AB13" s="54"/>
      <c r="AC13" s="54"/>
      <c r="AD13" s="54"/>
    </row>
    <row r="14" spans="2:30" x14ac:dyDescent="0.2">
      <c r="T14" s="23"/>
      <c r="U14" s="23"/>
      <c r="V14" s="85"/>
      <c r="Y14" s="55"/>
      <c r="Z14" s="55"/>
      <c r="AA14" s="56"/>
      <c r="AB14" s="23"/>
      <c r="AC14" s="23"/>
      <c r="AD14" s="57"/>
    </row>
    <row r="15" spans="2:30" ht="35.450000000000003" customHeight="1" x14ac:dyDescent="0.2">
      <c r="B15" s="18" t="s">
        <v>60</v>
      </c>
      <c r="C15" s="18" t="s">
        <v>101</v>
      </c>
      <c r="D15" s="18" t="s">
        <v>102</v>
      </c>
      <c r="E15" s="18" t="s">
        <v>103</v>
      </c>
      <c r="F15" s="18" t="s">
        <v>104</v>
      </c>
      <c r="G15" s="18" t="s">
        <v>105</v>
      </c>
      <c r="H15" s="17" t="s">
        <v>163</v>
      </c>
      <c r="I15" s="17" t="s">
        <v>25</v>
      </c>
      <c r="J15" s="16" t="s">
        <v>166</v>
      </c>
      <c r="K15" s="18" t="s">
        <v>107</v>
      </c>
      <c r="L15" s="16" t="s">
        <v>108</v>
      </c>
      <c r="M15" s="16" t="s">
        <v>108</v>
      </c>
      <c r="N15" s="18" t="s">
        <v>109</v>
      </c>
      <c r="O15" s="18" t="s">
        <v>110</v>
      </c>
      <c r="V15" s="55"/>
      <c r="Y15" s="55"/>
      <c r="Z15" s="55"/>
      <c r="AA15" s="56"/>
      <c r="AB15" s="23"/>
      <c r="AC15" s="23"/>
      <c r="AD15" s="57"/>
    </row>
    <row r="16" spans="2:30" ht="61.9" customHeight="1" thickBot="1" x14ac:dyDescent="0.25">
      <c r="B16" s="15" t="s">
        <v>111</v>
      </c>
      <c r="C16" s="15" t="s">
        <v>70</v>
      </c>
      <c r="D16" s="15" t="s">
        <v>112</v>
      </c>
      <c r="E16" s="15" t="s">
        <v>113</v>
      </c>
      <c r="F16" s="15" t="s">
        <v>114</v>
      </c>
      <c r="G16" s="15" t="s">
        <v>115</v>
      </c>
      <c r="H16" s="14" t="s">
        <v>163</v>
      </c>
      <c r="I16" s="14" t="s">
        <v>165</v>
      </c>
      <c r="J16" s="13" t="s">
        <v>116</v>
      </c>
      <c r="K16" s="15" t="s">
        <v>117</v>
      </c>
      <c r="L16" s="15" t="s">
        <v>118</v>
      </c>
      <c r="M16" s="15" t="s">
        <v>118</v>
      </c>
      <c r="N16" s="15" t="s">
        <v>119</v>
      </c>
      <c r="O16" s="15" t="s">
        <v>120</v>
      </c>
      <c r="Y16" s="55"/>
      <c r="Z16" s="55"/>
      <c r="AD16" s="58"/>
    </row>
    <row r="17" spans="2:15" ht="18.75" customHeight="1" x14ac:dyDescent="0.2">
      <c r="B17" s="12" t="str">
        <f>SEC_Processes!D15</f>
        <v>ELE_EX_HC</v>
      </c>
      <c r="C17" s="12" t="str">
        <f>SEC_Processes!E15</f>
        <v>Existing Hard Coal Power Plants</v>
      </c>
      <c r="D17" s="12" t="str">
        <f>SEC_Comm!C22</f>
        <v>SOLID</v>
      </c>
      <c r="E17" s="12" t="str">
        <f>SEC_Comm!C7</f>
        <v>ELEC_HV</v>
      </c>
      <c r="F17" s="11">
        <v>0.38500000000000001</v>
      </c>
      <c r="G17" s="12">
        <v>31.536000000000001</v>
      </c>
      <c r="H17" s="12"/>
      <c r="I17" s="12"/>
      <c r="J17" s="12"/>
      <c r="K17" s="10">
        <v>1</v>
      </c>
      <c r="L17" s="12"/>
      <c r="M17" s="12">
        <v>0.92</v>
      </c>
      <c r="N17" s="10">
        <v>47.5</v>
      </c>
      <c r="O17" s="12">
        <v>5.26</v>
      </c>
    </row>
    <row r="18" spans="2:15" ht="18.75" customHeight="1" x14ac:dyDescent="0.2">
      <c r="B18" s="9"/>
      <c r="C18" s="9"/>
      <c r="D18" s="9"/>
      <c r="E18" s="9"/>
      <c r="F18" s="9"/>
      <c r="G18" s="9"/>
      <c r="H18" s="9">
        <v>2023</v>
      </c>
      <c r="I18" s="9" t="s">
        <v>167</v>
      </c>
      <c r="J18" s="8">
        <v>0.6</v>
      </c>
      <c r="K18" s="9"/>
      <c r="L18" s="4">
        <v>0.9</v>
      </c>
      <c r="M18" s="9"/>
      <c r="N18" s="9"/>
      <c r="O18" s="9"/>
    </row>
    <row r="19" spans="2:15" ht="18.75" customHeight="1" x14ac:dyDescent="0.2">
      <c r="B19" s="7"/>
      <c r="C19" s="7"/>
      <c r="D19" s="7"/>
      <c r="E19" s="7"/>
      <c r="F19" s="7"/>
      <c r="G19" s="7"/>
      <c r="H19" s="7">
        <v>2024</v>
      </c>
      <c r="I19" s="6" t="s">
        <v>167</v>
      </c>
      <c r="J19" s="5">
        <v>0.6</v>
      </c>
      <c r="K19" s="7"/>
      <c r="L19" s="7">
        <v>0.9</v>
      </c>
      <c r="M19" s="7"/>
      <c r="N19" s="7"/>
      <c r="O19" s="7"/>
    </row>
    <row r="20" spans="2:15" ht="18.75" customHeight="1" x14ac:dyDescent="0.2">
      <c r="B20" s="9"/>
      <c r="C20" s="9"/>
      <c r="D20" s="9"/>
      <c r="E20" s="9"/>
      <c r="F20" s="9"/>
      <c r="G20" s="9"/>
      <c r="H20" s="9">
        <v>2025</v>
      </c>
      <c r="I20" s="9" t="s">
        <v>167</v>
      </c>
      <c r="J20" s="8">
        <v>0.6</v>
      </c>
      <c r="K20" s="9"/>
      <c r="L20" s="9">
        <v>0.6</v>
      </c>
      <c r="M20" s="9"/>
      <c r="N20" s="9"/>
      <c r="O20" s="9"/>
    </row>
    <row r="21" spans="2:15" ht="18.75" customHeight="1" x14ac:dyDescent="0.2">
      <c r="B21" s="7"/>
      <c r="C21" s="7"/>
      <c r="D21" s="7"/>
      <c r="E21" s="7"/>
      <c r="F21" s="7"/>
      <c r="G21" s="7"/>
      <c r="H21" s="7">
        <v>2030</v>
      </c>
      <c r="I21" s="7"/>
      <c r="J21" s="5">
        <v>0</v>
      </c>
      <c r="K21" s="7"/>
      <c r="L21" s="7"/>
      <c r="M21" s="7"/>
      <c r="N21" s="7"/>
      <c r="O21" s="7"/>
    </row>
    <row r="22" spans="2:15" ht="18.75" customHeight="1" x14ac:dyDescent="0.2">
      <c r="B22" s="9"/>
      <c r="C22" s="9"/>
      <c r="D22" s="9"/>
      <c r="E22" s="9"/>
      <c r="F22" s="9"/>
      <c r="G22" s="9"/>
      <c r="H22" s="9">
        <v>2035</v>
      </c>
      <c r="I22" s="9"/>
      <c r="J22" s="8">
        <v>0</v>
      </c>
      <c r="K22" s="9"/>
      <c r="L22" s="9"/>
      <c r="M22" s="9"/>
      <c r="N22" s="9"/>
      <c r="O22" s="9"/>
    </row>
    <row r="23" spans="2:15" ht="18.75" customHeight="1" x14ac:dyDescent="0.2">
      <c r="B23" s="7"/>
      <c r="C23" s="7"/>
      <c r="D23" s="7"/>
      <c r="E23" s="7"/>
      <c r="F23" s="7"/>
      <c r="G23" s="7"/>
      <c r="H23" s="7">
        <v>2040</v>
      </c>
      <c r="I23" s="6"/>
      <c r="J23" s="5">
        <v>0</v>
      </c>
      <c r="K23" s="7"/>
      <c r="L23" s="7"/>
      <c r="M23" s="7"/>
      <c r="N23" s="7"/>
      <c r="O23" s="7"/>
    </row>
    <row r="24" spans="2:15" ht="18.75" customHeight="1" x14ac:dyDescent="0.2">
      <c r="B24" s="9"/>
      <c r="C24" s="9"/>
      <c r="D24" s="9"/>
      <c r="E24" s="9"/>
      <c r="F24" s="9"/>
      <c r="G24" s="9"/>
      <c r="H24" s="9">
        <v>2045</v>
      </c>
      <c r="I24" s="9"/>
      <c r="J24" s="8">
        <v>0</v>
      </c>
      <c r="K24" s="9"/>
      <c r="L24" s="9"/>
      <c r="M24" s="9"/>
      <c r="N24" s="9"/>
      <c r="O24" s="9"/>
    </row>
    <row r="25" spans="2:15" ht="18.75" customHeight="1" x14ac:dyDescent="0.2">
      <c r="B25" s="7"/>
      <c r="C25" s="7"/>
      <c r="D25" s="7"/>
      <c r="E25" s="7"/>
      <c r="F25" s="7"/>
      <c r="G25" s="7"/>
      <c r="H25" s="7">
        <v>2050</v>
      </c>
      <c r="I25" s="7"/>
      <c r="J25" s="5">
        <v>0</v>
      </c>
      <c r="K25" s="7"/>
      <c r="L25" s="7"/>
      <c r="M25" s="7"/>
      <c r="N25" s="7"/>
      <c r="O25" s="7"/>
    </row>
    <row r="26" spans="2:15" ht="18.75" customHeight="1" x14ac:dyDescent="0.2">
      <c r="B26" s="133"/>
      <c r="C26" s="133"/>
      <c r="D26" s="133"/>
      <c r="E26" s="133" t="str">
        <f>SEC_Comm!C13</f>
        <v>CO2</v>
      </c>
      <c r="F26" s="133"/>
      <c r="G26" s="133"/>
      <c r="H26" s="133"/>
      <c r="I26" s="133"/>
      <c r="J26" s="139"/>
      <c r="K26" s="133"/>
      <c r="L26" s="133"/>
      <c r="M26" s="133"/>
      <c r="N26" s="133"/>
      <c r="O26" s="133"/>
    </row>
    <row r="27" spans="2:15" ht="18.95" customHeight="1" x14ac:dyDescent="0.2">
      <c r="B27" s="7" t="str">
        <f>SEC_Processes!D16</f>
        <v>ELE_EX_OILGAS</v>
      </c>
      <c r="C27" s="7" t="str">
        <f>SEC_Processes!E16</f>
        <v>Existing Syngas Power Plants</v>
      </c>
      <c r="D27" s="7" t="str">
        <f>SEC_Comm!C23</f>
        <v>CRUDE_OIL</v>
      </c>
      <c r="E27" s="7" t="str">
        <f>SEC_Comm!C7</f>
        <v>ELEC_HV</v>
      </c>
      <c r="F27" s="5">
        <v>0.54800000000000004</v>
      </c>
      <c r="G27" s="7">
        <v>31.536000000000001</v>
      </c>
      <c r="H27" s="7"/>
      <c r="I27" s="7"/>
      <c r="J27" s="7"/>
      <c r="K27" s="143">
        <v>1</v>
      </c>
      <c r="L27" s="7"/>
      <c r="M27" s="7">
        <v>0.87</v>
      </c>
      <c r="N27" s="143">
        <v>61</v>
      </c>
      <c r="O27" s="7">
        <v>1.1100000000000001</v>
      </c>
    </row>
    <row r="28" spans="2:15" ht="18.95" customHeight="1" x14ac:dyDescent="0.2">
      <c r="B28" s="9"/>
      <c r="C28" s="9"/>
      <c r="D28" s="9"/>
      <c r="E28" s="9"/>
      <c r="F28" s="9"/>
      <c r="G28" s="9"/>
      <c r="H28" s="9">
        <v>2023</v>
      </c>
      <c r="I28" s="9" t="s">
        <v>167</v>
      </c>
      <c r="J28" s="8">
        <v>0.55000000000000004</v>
      </c>
      <c r="K28" s="9"/>
      <c r="L28" s="4">
        <v>0.88</v>
      </c>
      <c r="M28" s="9"/>
      <c r="N28" s="9"/>
      <c r="O28" s="9"/>
    </row>
    <row r="29" spans="2:15" ht="18.95" customHeight="1" x14ac:dyDescent="0.2">
      <c r="D29" s="7"/>
      <c r="E29" s="7"/>
      <c r="F29" s="7"/>
      <c r="G29" s="7"/>
      <c r="H29" s="7">
        <v>2024</v>
      </c>
      <c r="I29" s="6" t="s">
        <v>167</v>
      </c>
      <c r="J29" s="5">
        <v>0.55000000000000004</v>
      </c>
      <c r="K29" s="7"/>
      <c r="L29" s="7">
        <v>0.88</v>
      </c>
      <c r="M29" s="7"/>
      <c r="N29" s="7"/>
      <c r="O29" s="7"/>
    </row>
    <row r="30" spans="2:15" ht="18.95" customHeight="1" x14ac:dyDescent="0.2">
      <c r="B30" s="9"/>
      <c r="C30" s="9"/>
      <c r="D30" s="9"/>
      <c r="E30" s="9"/>
      <c r="F30" s="9"/>
      <c r="G30" s="9"/>
      <c r="H30" s="9">
        <v>2025</v>
      </c>
      <c r="I30" s="9" t="s">
        <v>167</v>
      </c>
      <c r="J30" s="8">
        <v>0.55000000000000004</v>
      </c>
      <c r="K30" s="9"/>
      <c r="L30" s="9">
        <v>0.92</v>
      </c>
      <c r="M30" s="9"/>
      <c r="N30" s="9"/>
      <c r="O30" s="9"/>
    </row>
    <row r="31" spans="2:15" ht="18.95" customHeight="1" x14ac:dyDescent="0.2">
      <c r="D31" s="7"/>
      <c r="E31" s="7"/>
      <c r="F31" s="7"/>
      <c r="G31" s="7"/>
      <c r="H31" s="7">
        <v>2030</v>
      </c>
      <c r="I31" s="7"/>
      <c r="J31" s="5">
        <v>0.55000000000000004</v>
      </c>
      <c r="K31" s="7"/>
      <c r="L31" s="7"/>
      <c r="M31" s="7"/>
      <c r="N31" s="7"/>
      <c r="O31" s="7"/>
    </row>
    <row r="32" spans="2:15" ht="18.95" customHeight="1" x14ac:dyDescent="0.2">
      <c r="B32" s="9"/>
      <c r="C32" s="9"/>
      <c r="D32" s="9"/>
      <c r="E32" s="9"/>
      <c r="F32" s="9"/>
      <c r="G32" s="9"/>
      <c r="H32" s="9">
        <v>2035</v>
      </c>
      <c r="I32" s="9"/>
      <c r="J32" s="8">
        <v>0</v>
      </c>
      <c r="K32" s="9"/>
      <c r="L32" s="9"/>
      <c r="M32" s="9"/>
      <c r="N32" s="9"/>
      <c r="O32" s="9"/>
    </row>
    <row r="33" spans="2:15" ht="18.95" customHeight="1" x14ac:dyDescent="0.2">
      <c r="D33" s="7"/>
      <c r="E33" s="7"/>
      <c r="F33" s="7"/>
      <c r="G33" s="7"/>
      <c r="H33" s="7">
        <v>2040</v>
      </c>
      <c r="I33" s="6"/>
      <c r="J33" s="5">
        <v>0</v>
      </c>
      <c r="K33" s="7"/>
      <c r="L33" s="7"/>
      <c r="M33" s="7"/>
      <c r="N33" s="7"/>
      <c r="O33" s="7"/>
    </row>
    <row r="34" spans="2:15" ht="18.95" customHeight="1" x14ac:dyDescent="0.2">
      <c r="B34" s="9"/>
      <c r="C34" s="9"/>
      <c r="D34" s="9"/>
      <c r="E34" s="9"/>
      <c r="F34" s="9"/>
      <c r="G34" s="9"/>
      <c r="H34" s="9">
        <v>2045</v>
      </c>
      <c r="I34" s="9"/>
      <c r="J34" s="8">
        <v>0</v>
      </c>
      <c r="K34" s="9"/>
      <c r="L34" s="9"/>
      <c r="M34" s="9"/>
      <c r="N34" s="9"/>
      <c r="O34" s="9"/>
    </row>
    <row r="35" spans="2:15" ht="18.95" customHeight="1" x14ac:dyDescent="0.2">
      <c r="B35" s="7"/>
      <c r="C35" s="7"/>
      <c r="D35" s="7"/>
      <c r="E35" s="7"/>
      <c r="F35" s="7"/>
      <c r="G35" s="7"/>
      <c r="H35" s="7">
        <v>2050</v>
      </c>
      <c r="I35" s="7"/>
      <c r="J35" s="5">
        <v>0</v>
      </c>
      <c r="K35" s="7"/>
      <c r="L35" s="7"/>
      <c r="M35" s="7"/>
      <c r="N35" s="7"/>
      <c r="O35" s="7"/>
    </row>
    <row r="36" spans="2:15" ht="18.95" customHeight="1" thickBot="1" x14ac:dyDescent="0.25">
      <c r="B36" s="177"/>
      <c r="C36" s="177"/>
      <c r="D36" s="177"/>
      <c r="E36" s="177" t="str">
        <f>SEC_Comm!C13</f>
        <v>CO2</v>
      </c>
      <c r="F36" s="177"/>
      <c r="G36" s="177"/>
      <c r="H36" s="177"/>
      <c r="I36" s="177"/>
      <c r="J36" s="178"/>
      <c r="K36" s="177"/>
      <c r="L36" s="177"/>
      <c r="M36" s="177"/>
      <c r="N36" s="177"/>
      <c r="O36" s="177"/>
    </row>
  </sheetData>
  <mergeCells count="1">
    <mergeCell ref="H6:N6"/>
  </mergeCells>
  <phoneticPr fontId="0" type="noConversion"/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4"/>
  <dimension ref="B2:S46"/>
  <sheetViews>
    <sheetView zoomScale="76" zoomScaleNormal="85" workbookViewId="0">
      <selection activeCell="C62" sqref="C62"/>
    </sheetView>
  </sheetViews>
  <sheetFormatPr defaultRowHeight="12.75" x14ac:dyDescent="0.2"/>
  <cols>
    <col min="1" max="1" width="3" customWidth="1"/>
    <col min="2" max="2" width="31.140625" customWidth="1"/>
    <col min="3" max="3" width="34.42578125" customWidth="1"/>
    <col min="4" max="4" width="21.28515625" customWidth="1"/>
    <col min="5" max="5" width="18.7109375" customWidth="1"/>
    <col min="6" max="6" width="8.85546875" customWidth="1"/>
    <col min="7" max="7" width="23" customWidth="1"/>
    <col min="8" max="14" width="7.5703125" customWidth="1"/>
    <col min="15" max="15" width="14.140625" customWidth="1"/>
    <col min="16" max="16" width="14" customWidth="1"/>
    <col min="17" max="17" width="15.42578125" customWidth="1"/>
    <col min="18" max="18" width="20" customWidth="1"/>
    <col min="19" max="19" width="11.42578125" customWidth="1"/>
  </cols>
  <sheetData>
    <row r="2" spans="2:19" ht="18" x14ac:dyDescent="0.25">
      <c r="B2" s="102" t="s">
        <v>121</v>
      </c>
      <c r="C2" s="41"/>
      <c r="E2" s="26"/>
      <c r="H2" s="29"/>
      <c r="I2" s="29"/>
      <c r="J2" s="29"/>
      <c r="K2" s="29"/>
      <c r="L2" s="29"/>
      <c r="M2" s="29"/>
      <c r="N2" s="29"/>
      <c r="O2" s="29"/>
      <c r="P2" s="30"/>
      <c r="Q2" s="32"/>
      <c r="R2" s="27"/>
      <c r="S2" s="28"/>
    </row>
    <row r="3" spans="2:19" x14ac:dyDescent="0.2">
      <c r="B3" s="71"/>
      <c r="C3" s="25"/>
      <c r="E3" s="26"/>
      <c r="H3" s="29"/>
      <c r="I3" s="29"/>
      <c r="J3" s="29"/>
      <c r="K3" s="29"/>
      <c r="L3" s="29"/>
      <c r="M3" s="29"/>
      <c r="N3" s="29"/>
      <c r="O3" s="29"/>
      <c r="P3" s="30"/>
      <c r="Q3" s="32"/>
      <c r="R3" s="27"/>
      <c r="S3" s="28"/>
    </row>
    <row r="4" spans="2:19" ht="15.75" customHeight="1" x14ac:dyDescent="0.2">
      <c r="E4" s="36" t="s">
        <v>100</v>
      </c>
      <c r="F4" s="34"/>
      <c r="G4" s="34"/>
      <c r="H4" s="34"/>
      <c r="I4" s="34"/>
      <c r="J4" s="34"/>
      <c r="K4" s="34"/>
      <c r="L4" s="34"/>
      <c r="M4" s="34"/>
      <c r="N4" s="34"/>
      <c r="O4" s="34"/>
      <c r="P4" s="37"/>
      <c r="Q4" s="35"/>
      <c r="R4" s="35"/>
    </row>
    <row r="5" spans="2:19" s="24" customFormat="1" ht="25.5" x14ac:dyDescent="0.2">
      <c r="B5" s="106" t="s">
        <v>60</v>
      </c>
      <c r="C5" s="106" t="s">
        <v>122</v>
      </c>
      <c r="D5" s="106" t="s">
        <v>102</v>
      </c>
      <c r="E5" s="106" t="s">
        <v>103</v>
      </c>
      <c r="F5" s="106" t="s">
        <v>104</v>
      </c>
      <c r="G5" s="106" t="s">
        <v>105</v>
      </c>
      <c r="H5" s="107" t="s">
        <v>202</v>
      </c>
      <c r="I5" s="107" t="s">
        <v>131</v>
      </c>
      <c r="J5" s="107" t="s">
        <v>132</v>
      </c>
      <c r="K5" s="107" t="s">
        <v>133</v>
      </c>
      <c r="L5" s="107" t="s">
        <v>134</v>
      </c>
      <c r="M5" s="107" t="s">
        <v>135</v>
      </c>
      <c r="N5" s="107" t="s">
        <v>106</v>
      </c>
      <c r="O5" s="106" t="s">
        <v>107</v>
      </c>
      <c r="P5" s="106" t="s">
        <v>108</v>
      </c>
      <c r="Q5" s="106" t="s">
        <v>109</v>
      </c>
      <c r="R5" s="106" t="s">
        <v>110</v>
      </c>
      <c r="S5"/>
    </row>
    <row r="6" spans="2:19" ht="38.25" x14ac:dyDescent="0.2">
      <c r="B6" s="19" t="s">
        <v>111</v>
      </c>
      <c r="C6" s="19" t="s">
        <v>70</v>
      </c>
      <c r="D6" s="19" t="s">
        <v>112</v>
      </c>
      <c r="E6" s="19" t="s">
        <v>113</v>
      </c>
      <c r="F6" s="19" t="s">
        <v>114</v>
      </c>
      <c r="G6" s="19" t="s">
        <v>115</v>
      </c>
      <c r="H6" s="225" t="s">
        <v>116</v>
      </c>
      <c r="I6" s="225"/>
      <c r="J6" s="225"/>
      <c r="K6" s="225"/>
      <c r="L6" s="225"/>
      <c r="M6" s="225"/>
      <c r="N6" s="225"/>
      <c r="O6" s="19" t="s">
        <v>117</v>
      </c>
      <c r="P6" s="19" t="s">
        <v>118</v>
      </c>
      <c r="Q6" s="19" t="s">
        <v>203</v>
      </c>
      <c r="R6" s="19" t="s">
        <v>208</v>
      </c>
    </row>
    <row r="7" spans="2:19" ht="20.45" customHeight="1" x14ac:dyDescent="0.2">
      <c r="B7" s="136" t="str">
        <f>SEC_Processes!D17</f>
        <v>ELE_EX_BIOMASS</v>
      </c>
      <c r="C7" s="135" t="s">
        <v>209</v>
      </c>
      <c r="D7" s="116" t="s">
        <v>176</v>
      </c>
      <c r="E7" s="136" t="str">
        <f>SEC_Comm!C7</f>
        <v>ELEC_HV</v>
      </c>
      <c r="F7" s="137">
        <v>1</v>
      </c>
      <c r="G7" s="137">
        <v>31.536000000000001</v>
      </c>
      <c r="H7" s="139">
        <v>0.1</v>
      </c>
      <c r="I7" s="139">
        <v>0.1</v>
      </c>
      <c r="J7" s="139">
        <v>0</v>
      </c>
      <c r="K7" s="139">
        <v>0</v>
      </c>
      <c r="L7" s="139">
        <v>0</v>
      </c>
      <c r="M7" s="139">
        <v>0</v>
      </c>
      <c r="N7" s="139">
        <v>0</v>
      </c>
      <c r="O7" s="138">
        <v>0.05</v>
      </c>
      <c r="P7" s="132">
        <v>1</v>
      </c>
      <c r="Q7" s="138">
        <v>100</v>
      </c>
      <c r="R7" s="132">
        <v>1E-3</v>
      </c>
    </row>
    <row r="8" spans="2:19" ht="20.45" customHeight="1" x14ac:dyDescent="0.2">
      <c r="B8" s="45" t="str">
        <f>SEC_Processes!D18</f>
        <v>ELE_EX_HIDRO</v>
      </c>
      <c r="C8" s="134" t="s">
        <v>207</v>
      </c>
      <c r="D8" s="42" t="s">
        <v>178</v>
      </c>
      <c r="E8" s="93" t="str">
        <f>SEC_Comm!C7</f>
        <v>ELEC_HV</v>
      </c>
      <c r="F8" s="47">
        <v>1</v>
      </c>
      <c r="G8" s="46">
        <v>31.536000000000001</v>
      </c>
      <c r="H8" s="47">
        <v>0.24</v>
      </c>
      <c r="I8" s="47">
        <v>0.24</v>
      </c>
      <c r="J8" s="47">
        <v>0</v>
      </c>
      <c r="K8" s="47">
        <v>0</v>
      </c>
      <c r="L8" s="47">
        <v>0</v>
      </c>
      <c r="M8" s="47">
        <v>0</v>
      </c>
      <c r="N8" s="47">
        <v>0</v>
      </c>
      <c r="O8" s="95">
        <v>0.05</v>
      </c>
      <c r="P8" s="95">
        <v>1</v>
      </c>
      <c r="Q8" s="95">
        <v>26</v>
      </c>
      <c r="R8" s="95">
        <v>1E-3</v>
      </c>
    </row>
    <row r="9" spans="2:19" ht="20.45" customHeight="1" x14ac:dyDescent="0.2">
      <c r="B9" s="133" t="str">
        <f>SEC_Processes!D19</f>
        <v>ELE_EX_HIDRO_RUN</v>
      </c>
      <c r="C9" s="135" t="s">
        <v>206</v>
      </c>
      <c r="D9" s="116" t="s">
        <v>192</v>
      </c>
      <c r="E9" s="61" t="str">
        <f>SEC_Comm!C7</f>
        <v>ELEC_HV</v>
      </c>
      <c r="F9" s="131">
        <v>1</v>
      </c>
      <c r="G9" s="61">
        <v>31.536000000000001</v>
      </c>
      <c r="H9" s="139">
        <v>7.0000000000000007E-2</v>
      </c>
      <c r="I9" s="139">
        <v>7.0000000000000007E-2</v>
      </c>
      <c r="J9" s="139">
        <v>0</v>
      </c>
      <c r="K9" s="139">
        <v>0</v>
      </c>
      <c r="L9" s="139">
        <v>0</v>
      </c>
      <c r="M9" s="139">
        <v>0</v>
      </c>
      <c r="N9" s="139">
        <v>0</v>
      </c>
      <c r="O9" s="132">
        <v>0.05</v>
      </c>
      <c r="P9" s="132">
        <v>1</v>
      </c>
      <c r="Q9" s="138">
        <v>74</v>
      </c>
      <c r="R9" s="132">
        <v>1E-3</v>
      </c>
    </row>
    <row r="10" spans="2:19" ht="20.45" customHeight="1" x14ac:dyDescent="0.2">
      <c r="B10" s="145" t="str">
        <f>SEC_Processes!D20</f>
        <v>ELE_EX_HIDRO_STORAGE_PUMP</v>
      </c>
      <c r="C10" s="134" t="s">
        <v>207</v>
      </c>
      <c r="D10" s="114" t="s">
        <v>337</v>
      </c>
      <c r="E10" s="46" t="str">
        <f>SEC_Comm!C7</f>
        <v>ELEC_HV</v>
      </c>
      <c r="F10" s="47">
        <v>1</v>
      </c>
      <c r="G10" s="46">
        <v>31.536000000000001</v>
      </c>
      <c r="H10" s="146">
        <v>0.2</v>
      </c>
      <c r="I10" s="146">
        <v>0.2</v>
      </c>
      <c r="J10" s="146">
        <v>0</v>
      </c>
      <c r="K10" s="146">
        <v>0</v>
      </c>
      <c r="L10" s="146">
        <v>0</v>
      </c>
      <c r="M10" s="146">
        <v>0</v>
      </c>
      <c r="N10" s="146">
        <v>0</v>
      </c>
      <c r="O10" s="147">
        <v>0.05</v>
      </c>
      <c r="P10" s="147">
        <v>1</v>
      </c>
      <c r="Q10" s="148">
        <v>8</v>
      </c>
      <c r="R10" s="147">
        <v>0</v>
      </c>
    </row>
    <row r="11" spans="2:19" ht="20.45" customHeight="1" x14ac:dyDescent="0.2">
      <c r="B11" s="133" t="str">
        <f>SEC_Processes!D21</f>
        <v>ELE_EX_OTHER</v>
      </c>
      <c r="C11" s="127" t="s">
        <v>222</v>
      </c>
      <c r="D11" s="116" t="s">
        <v>223</v>
      </c>
      <c r="E11" s="61" t="str">
        <f>SEC_Comm!C7</f>
        <v>ELEC_HV</v>
      </c>
      <c r="F11" s="131">
        <v>1</v>
      </c>
      <c r="G11" s="61">
        <v>31.536000000000001</v>
      </c>
      <c r="H11" s="139">
        <v>0.1</v>
      </c>
      <c r="I11" s="139">
        <v>0.1</v>
      </c>
      <c r="J11" s="139">
        <v>0</v>
      </c>
      <c r="K11" s="139">
        <v>0</v>
      </c>
      <c r="L11" s="139">
        <v>0</v>
      </c>
      <c r="M11" s="139">
        <v>0</v>
      </c>
      <c r="N11" s="139">
        <v>0</v>
      </c>
      <c r="O11" s="132">
        <v>0.05</v>
      </c>
      <c r="P11" s="132">
        <v>1</v>
      </c>
      <c r="Q11" s="138">
        <v>50</v>
      </c>
      <c r="R11" s="132">
        <v>0</v>
      </c>
    </row>
    <row r="12" spans="2:19" ht="20.45" customHeight="1" x14ac:dyDescent="0.2">
      <c r="B12" s="45" t="str">
        <f>SEC_Processes!D11</f>
        <v>ELE_EX_WIND-ON</v>
      </c>
      <c r="C12" s="93" t="str">
        <f>SEC_Processes!E11</f>
        <v>Existing Onshore Wind Turbines</v>
      </c>
      <c r="D12" s="114" t="s">
        <v>123</v>
      </c>
      <c r="E12" s="46" t="str">
        <f>SEC_Comm!C7</f>
        <v>ELEC_HV</v>
      </c>
      <c r="F12" s="47">
        <v>1</v>
      </c>
      <c r="G12" s="46">
        <v>31.536000000000001</v>
      </c>
      <c r="H12" s="140">
        <v>1.17</v>
      </c>
      <c r="I12" s="47">
        <f>H12+0.049</f>
        <v>1.2189999999999999</v>
      </c>
      <c r="J12" s="47">
        <v>0.4</v>
      </c>
      <c r="K12" s="47">
        <v>0.3</v>
      </c>
      <c r="L12" s="47">
        <v>0.2</v>
      </c>
      <c r="M12" s="47">
        <v>0</v>
      </c>
      <c r="N12" s="47">
        <v>0</v>
      </c>
      <c r="O12" s="95">
        <v>0.05</v>
      </c>
      <c r="P12" s="95">
        <v>1</v>
      </c>
      <c r="Q12" s="95">
        <v>27</v>
      </c>
      <c r="R12" s="95">
        <v>1E-3</v>
      </c>
    </row>
    <row r="13" spans="2:19" ht="20.45" customHeight="1" x14ac:dyDescent="0.2">
      <c r="B13" s="62" t="str">
        <f>SEC_Processes!D12</f>
        <v>ELE_EX_AUTOPR_PV</v>
      </c>
      <c r="C13" s="169" t="str">
        <f>SEC_Processes!E12</f>
        <v>Existing autoproducer PV Elecrticity</v>
      </c>
      <c r="D13" s="116" t="s">
        <v>124</v>
      </c>
      <c r="E13" s="46" t="s">
        <v>308</v>
      </c>
      <c r="F13" s="131">
        <v>1</v>
      </c>
      <c r="G13" s="61">
        <v>31.536000000000001</v>
      </c>
      <c r="H13" s="201">
        <v>7.1999999999999995E-2</v>
      </c>
      <c r="I13" s="131">
        <v>0.08</v>
      </c>
      <c r="J13" s="131">
        <v>0</v>
      </c>
      <c r="K13" s="131">
        <v>0</v>
      </c>
      <c r="L13" s="131">
        <v>0</v>
      </c>
      <c r="M13" s="131">
        <v>0</v>
      </c>
      <c r="N13" s="131">
        <v>0</v>
      </c>
      <c r="O13" s="202">
        <v>0.05</v>
      </c>
      <c r="P13" s="202">
        <v>1</v>
      </c>
      <c r="Q13" s="202">
        <v>20</v>
      </c>
      <c r="R13" s="202">
        <v>0</v>
      </c>
    </row>
    <row r="14" spans="2:19" ht="20.45" customHeight="1" x14ac:dyDescent="0.2">
      <c r="B14" s="45" t="str">
        <f>SEC_Processes!D13</f>
        <v>ELE_EX_AUTOPR_PV_RES</v>
      </c>
      <c r="C14" s="93" t="str">
        <f>SEC_Processes!E13</f>
        <v>Existing autoproducer residential PV Elecrticity</v>
      </c>
      <c r="D14" s="114" t="s">
        <v>124</v>
      </c>
      <c r="E14" s="46" t="s">
        <v>306</v>
      </c>
      <c r="F14" s="47">
        <v>1</v>
      </c>
      <c r="G14" s="46">
        <v>31.536000000000001</v>
      </c>
      <c r="H14" s="47">
        <v>0.26300000000000001</v>
      </c>
      <c r="I14" s="47">
        <v>0.26300000000000001</v>
      </c>
      <c r="J14" s="47">
        <v>0.1</v>
      </c>
      <c r="K14" s="47">
        <v>0</v>
      </c>
      <c r="L14" s="47">
        <v>0</v>
      </c>
      <c r="M14" s="47">
        <v>0</v>
      </c>
      <c r="N14" s="47">
        <v>0</v>
      </c>
      <c r="O14" s="95">
        <v>0.05</v>
      </c>
      <c r="P14" s="95">
        <v>1</v>
      </c>
      <c r="Q14" s="95">
        <v>28</v>
      </c>
      <c r="R14" s="95">
        <v>0</v>
      </c>
    </row>
    <row r="15" spans="2:19" ht="20.25" customHeight="1" thickBot="1" x14ac:dyDescent="0.25">
      <c r="B15" s="64" t="str">
        <f>SEC_Processes!D14</f>
        <v>ELE_EX_PV</v>
      </c>
      <c r="C15" s="97" t="str">
        <f>SEC_Processes!E14</f>
        <v>Existing Photovoltaics</v>
      </c>
      <c r="D15" s="203" t="s">
        <v>124</v>
      </c>
      <c r="E15" s="64" t="s">
        <v>308</v>
      </c>
      <c r="F15" s="84">
        <v>1</v>
      </c>
      <c r="G15" s="64">
        <v>31.536000000000001</v>
      </c>
      <c r="H15" s="141">
        <v>0.8</v>
      </c>
      <c r="I15" s="84">
        <v>0.2</v>
      </c>
      <c r="J15" s="84">
        <v>0.2</v>
      </c>
      <c r="K15" s="84">
        <v>0</v>
      </c>
      <c r="L15" s="84">
        <v>0</v>
      </c>
      <c r="M15" s="84">
        <v>0</v>
      </c>
      <c r="N15" s="84">
        <v>0</v>
      </c>
      <c r="O15" s="96">
        <v>0.05</v>
      </c>
      <c r="P15" s="96">
        <v>1</v>
      </c>
      <c r="Q15" s="96">
        <v>17</v>
      </c>
      <c r="R15" s="96">
        <v>1E-3</v>
      </c>
    </row>
    <row r="17" spans="2:10" x14ac:dyDescent="0.2">
      <c r="I17" s="105"/>
      <c r="J17" s="105"/>
    </row>
    <row r="18" spans="2:10" x14ac:dyDescent="0.2">
      <c r="B18" s="23"/>
    </row>
    <row r="20" spans="2:10" x14ac:dyDescent="0.2">
      <c r="I20" s="105"/>
    </row>
    <row r="22" spans="2:10" x14ac:dyDescent="0.2">
      <c r="B22" s="43" t="s">
        <v>174</v>
      </c>
      <c r="C22" s="42"/>
      <c r="D22" s="42"/>
      <c r="E22" s="42"/>
      <c r="F22" s="42"/>
      <c r="G22" s="42"/>
      <c r="H22" s="42"/>
      <c r="I22" s="42"/>
    </row>
    <row r="23" spans="2:10" x14ac:dyDescent="0.2">
      <c r="B23" s="106" t="s">
        <v>21</v>
      </c>
      <c r="C23" s="106" t="s">
        <v>22</v>
      </c>
      <c r="D23" s="106" t="s">
        <v>23</v>
      </c>
      <c r="E23" s="106" t="s">
        <v>24</v>
      </c>
      <c r="F23" s="106" t="s">
        <v>25</v>
      </c>
      <c r="G23" s="106" t="s">
        <v>26</v>
      </c>
      <c r="H23" s="106" t="s">
        <v>27</v>
      </c>
      <c r="I23" s="106" t="s">
        <v>28</v>
      </c>
    </row>
    <row r="24" spans="2:10" ht="63.75" x14ac:dyDescent="0.2">
      <c r="B24" s="19" t="s">
        <v>29</v>
      </c>
      <c r="C24" s="19" t="s">
        <v>30</v>
      </c>
      <c r="D24" s="19" t="s">
        <v>31</v>
      </c>
      <c r="E24" s="19" t="s">
        <v>24</v>
      </c>
      <c r="F24" s="19" t="s">
        <v>32</v>
      </c>
      <c r="G24" s="19" t="s">
        <v>33</v>
      </c>
      <c r="H24" s="19" t="s">
        <v>34</v>
      </c>
      <c r="I24" s="19" t="s">
        <v>35</v>
      </c>
    </row>
    <row r="25" spans="2:10" x14ac:dyDescent="0.2">
      <c r="B25" s="66" t="s">
        <v>36</v>
      </c>
      <c r="C25" s="116" t="s">
        <v>305</v>
      </c>
      <c r="D25" s="66" t="s">
        <v>331</v>
      </c>
      <c r="E25" s="117" t="s">
        <v>38</v>
      </c>
      <c r="F25" s="65"/>
      <c r="G25" s="65"/>
      <c r="H25" s="65"/>
      <c r="I25" s="65"/>
    </row>
    <row r="26" spans="2:10" x14ac:dyDescent="0.2">
      <c r="B26" s="49" t="s">
        <v>36</v>
      </c>
      <c r="C26" s="114" t="s">
        <v>296</v>
      </c>
      <c r="D26" s="49" t="s">
        <v>332</v>
      </c>
      <c r="E26" s="115" t="s">
        <v>38</v>
      </c>
      <c r="F26" s="48"/>
      <c r="G26" s="48"/>
      <c r="H26" s="48"/>
      <c r="I26" s="48"/>
    </row>
    <row r="27" spans="2:10" x14ac:dyDescent="0.2">
      <c r="B27" s="66" t="s">
        <v>36</v>
      </c>
      <c r="C27" s="116" t="s">
        <v>204</v>
      </c>
      <c r="D27" s="66" t="s">
        <v>175</v>
      </c>
      <c r="E27" s="117" t="s">
        <v>38</v>
      </c>
      <c r="F27" s="65"/>
      <c r="G27" s="65"/>
      <c r="H27" s="65"/>
      <c r="I27" s="65"/>
    </row>
    <row r="28" spans="2:10" x14ac:dyDescent="0.2">
      <c r="B28" s="185" t="s">
        <v>36</v>
      </c>
      <c r="C28" s="42" t="s">
        <v>297</v>
      </c>
      <c r="D28" s="185" t="s">
        <v>312</v>
      </c>
      <c r="E28" s="186" t="s">
        <v>38</v>
      </c>
      <c r="F28" s="44"/>
      <c r="G28" s="44"/>
      <c r="H28" s="44"/>
      <c r="I28" s="44"/>
    </row>
    <row r="29" spans="2:10" x14ac:dyDescent="0.2">
      <c r="B29" s="66" t="s">
        <v>36</v>
      </c>
      <c r="C29" s="116" t="s">
        <v>298</v>
      </c>
      <c r="D29" s="66" t="s">
        <v>310</v>
      </c>
      <c r="E29" s="117" t="s">
        <v>38</v>
      </c>
      <c r="F29" s="65"/>
      <c r="G29" s="65"/>
      <c r="H29" s="65"/>
      <c r="I29" s="65"/>
    </row>
    <row r="30" spans="2:10" x14ac:dyDescent="0.2">
      <c r="B30" s="185" t="s">
        <v>36</v>
      </c>
      <c r="C30" s="42" t="s">
        <v>302</v>
      </c>
      <c r="D30" s="185" t="s">
        <v>333</v>
      </c>
      <c r="E30" s="186" t="s">
        <v>38</v>
      </c>
      <c r="F30" s="44"/>
      <c r="G30" s="44"/>
      <c r="H30" s="44"/>
      <c r="I30" s="44"/>
    </row>
    <row r="31" spans="2:10" x14ac:dyDescent="0.2">
      <c r="B31" s="66" t="s">
        <v>36</v>
      </c>
      <c r="C31" s="116" t="s">
        <v>303</v>
      </c>
      <c r="D31" s="116" t="s">
        <v>303</v>
      </c>
      <c r="E31" s="117" t="s">
        <v>38</v>
      </c>
      <c r="F31" s="65"/>
      <c r="G31" s="65"/>
      <c r="H31" s="65"/>
      <c r="I31" s="65"/>
    </row>
    <row r="32" spans="2:10" x14ac:dyDescent="0.2">
      <c r="B32" s="185" t="s">
        <v>36</v>
      </c>
      <c r="C32" s="42" t="s">
        <v>325</v>
      </c>
      <c r="D32" s="42" t="s">
        <v>334</v>
      </c>
      <c r="E32" s="186" t="s">
        <v>38</v>
      </c>
      <c r="F32" s="44"/>
      <c r="G32" s="44"/>
      <c r="H32" s="44"/>
      <c r="I32" s="44"/>
    </row>
    <row r="33" spans="2:9" x14ac:dyDescent="0.2">
      <c r="B33" s="66" t="s">
        <v>36</v>
      </c>
      <c r="C33" s="116" t="s">
        <v>314</v>
      </c>
      <c r="D33" s="116" t="s">
        <v>314</v>
      </c>
      <c r="E33" s="117" t="s">
        <v>38</v>
      </c>
      <c r="F33" s="65"/>
      <c r="G33" s="65"/>
      <c r="H33" s="65"/>
      <c r="I33" s="65"/>
    </row>
    <row r="34" spans="2:9" x14ac:dyDescent="0.2">
      <c r="B34" s="185" t="s">
        <v>36</v>
      </c>
      <c r="C34" s="42" t="s">
        <v>315</v>
      </c>
      <c r="D34" s="42" t="s">
        <v>315</v>
      </c>
      <c r="E34" s="186" t="s">
        <v>38</v>
      </c>
      <c r="F34" s="44"/>
      <c r="G34" s="44"/>
      <c r="H34" s="44"/>
      <c r="I34" s="44"/>
    </row>
    <row r="35" spans="2:9" x14ac:dyDescent="0.2">
      <c r="B35" s="66" t="s">
        <v>36</v>
      </c>
      <c r="C35" s="116" t="s">
        <v>326</v>
      </c>
      <c r="D35" s="116" t="s">
        <v>335</v>
      </c>
      <c r="E35" s="117" t="s">
        <v>38</v>
      </c>
      <c r="F35" s="65"/>
      <c r="G35" s="65"/>
      <c r="H35" s="65"/>
      <c r="I35" s="65"/>
    </row>
    <row r="36" spans="2:9" x14ac:dyDescent="0.2">
      <c r="B36" s="185" t="s">
        <v>36</v>
      </c>
      <c r="C36" s="42" t="s">
        <v>328</v>
      </c>
      <c r="D36" s="185" t="s">
        <v>336</v>
      </c>
      <c r="E36" s="186" t="s">
        <v>38</v>
      </c>
      <c r="F36" s="44"/>
      <c r="G36" s="44"/>
      <c r="H36" s="44"/>
      <c r="I36" s="44"/>
    </row>
    <row r="37" spans="2:9" x14ac:dyDescent="0.2">
      <c r="B37" s="66" t="s">
        <v>36</v>
      </c>
      <c r="C37" s="116" t="s">
        <v>176</v>
      </c>
      <c r="D37" s="66" t="s">
        <v>177</v>
      </c>
      <c r="E37" s="117" t="s">
        <v>38</v>
      </c>
      <c r="F37" s="65"/>
      <c r="G37" s="65"/>
      <c r="H37" s="65"/>
      <c r="I37" s="65"/>
    </row>
    <row r="38" spans="2:9" x14ac:dyDescent="0.2">
      <c r="B38" s="185" t="s">
        <v>36</v>
      </c>
      <c r="C38" s="42" t="s">
        <v>178</v>
      </c>
      <c r="D38" s="185" t="s">
        <v>179</v>
      </c>
      <c r="E38" s="186" t="s">
        <v>38</v>
      </c>
      <c r="F38" s="44"/>
      <c r="G38" s="44"/>
      <c r="H38" s="44"/>
      <c r="I38" s="44"/>
    </row>
    <row r="39" spans="2:9" x14ac:dyDescent="0.2">
      <c r="B39" s="66" t="s">
        <v>36</v>
      </c>
      <c r="C39" s="116" t="s">
        <v>192</v>
      </c>
      <c r="D39" s="66" t="s">
        <v>180</v>
      </c>
      <c r="E39" s="117" t="s">
        <v>38</v>
      </c>
      <c r="F39" s="65"/>
      <c r="G39" s="65"/>
      <c r="H39" s="65"/>
      <c r="I39" s="65"/>
    </row>
    <row r="40" spans="2:9" x14ac:dyDescent="0.2">
      <c r="B40" s="49" t="s">
        <v>36</v>
      </c>
      <c r="C40" s="114" t="s">
        <v>337</v>
      </c>
      <c r="D40" s="49" t="s">
        <v>338</v>
      </c>
      <c r="E40" s="115" t="s">
        <v>38</v>
      </c>
      <c r="F40" s="48"/>
      <c r="G40" s="48"/>
      <c r="H40" s="48"/>
      <c r="I40" s="48"/>
    </row>
    <row r="41" spans="2:9" x14ac:dyDescent="0.2">
      <c r="B41" s="66" t="s">
        <v>36</v>
      </c>
      <c r="C41" s="116" t="s">
        <v>123</v>
      </c>
      <c r="D41" s="66" t="s">
        <v>171</v>
      </c>
      <c r="E41" s="86" t="s">
        <v>38</v>
      </c>
      <c r="F41" s="65"/>
      <c r="G41" s="65"/>
      <c r="H41" s="65"/>
      <c r="I41" s="65"/>
    </row>
    <row r="42" spans="2:9" x14ac:dyDescent="0.2">
      <c r="B42" s="49" t="s">
        <v>36</v>
      </c>
      <c r="C42" s="114" t="s">
        <v>339</v>
      </c>
      <c r="D42" s="49" t="s">
        <v>339</v>
      </c>
      <c r="E42" s="123" t="s">
        <v>38</v>
      </c>
      <c r="F42" s="48"/>
      <c r="G42" s="48"/>
      <c r="H42" s="48"/>
      <c r="I42" s="48"/>
    </row>
    <row r="43" spans="2:9" x14ac:dyDescent="0.2">
      <c r="B43" s="66" t="s">
        <v>36</v>
      </c>
      <c r="C43" s="116" t="s">
        <v>124</v>
      </c>
      <c r="D43" s="66" t="s">
        <v>172</v>
      </c>
      <c r="E43" s="86" t="s">
        <v>38</v>
      </c>
      <c r="F43" s="65"/>
      <c r="G43" s="65"/>
      <c r="H43" s="65"/>
      <c r="I43" s="65"/>
    </row>
    <row r="44" spans="2:9" x14ac:dyDescent="0.2">
      <c r="B44" s="49" t="s">
        <v>36</v>
      </c>
      <c r="C44" s="114" t="s">
        <v>340</v>
      </c>
      <c r="D44" s="49" t="s">
        <v>341</v>
      </c>
      <c r="E44" s="123" t="s">
        <v>38</v>
      </c>
      <c r="F44" s="48"/>
      <c r="G44" s="48"/>
      <c r="H44" s="48"/>
      <c r="I44" s="48"/>
    </row>
    <row r="45" spans="2:9" x14ac:dyDescent="0.2">
      <c r="B45" s="66" t="s">
        <v>36</v>
      </c>
      <c r="C45" s="116" t="s">
        <v>342</v>
      </c>
      <c r="D45" s="66" t="s">
        <v>343</v>
      </c>
      <c r="E45" s="86" t="s">
        <v>38</v>
      </c>
      <c r="F45" s="65"/>
      <c r="G45" s="65"/>
      <c r="H45" s="65"/>
      <c r="I45" s="65"/>
    </row>
    <row r="46" spans="2:9" ht="13.5" thickBot="1" x14ac:dyDescent="0.25">
      <c r="B46" s="196" t="s">
        <v>36</v>
      </c>
      <c r="C46" s="197" t="s">
        <v>223</v>
      </c>
      <c r="D46" s="196" t="s">
        <v>223</v>
      </c>
      <c r="E46" s="198" t="s">
        <v>38</v>
      </c>
      <c r="F46" s="199"/>
      <c r="G46" s="199"/>
      <c r="H46" s="199"/>
      <c r="I46" s="199"/>
    </row>
  </sheetData>
  <mergeCells count="1">
    <mergeCell ref="H6:N6"/>
  </mergeCells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7"/>
  <dimension ref="B2:X28"/>
  <sheetViews>
    <sheetView topLeftCell="L1" zoomScale="90" zoomScaleNormal="110" workbookViewId="0">
      <selection activeCell="O38" sqref="O38"/>
    </sheetView>
  </sheetViews>
  <sheetFormatPr defaultRowHeight="12.75" x14ac:dyDescent="0.2"/>
  <cols>
    <col min="1" max="1" width="3" customWidth="1"/>
    <col min="2" max="2" width="16.5703125" customWidth="1"/>
    <col min="3" max="3" width="66" customWidth="1"/>
    <col min="4" max="4" width="13.85546875" customWidth="1"/>
    <col min="5" max="5" width="14.7109375" customWidth="1"/>
    <col min="6" max="8" width="13.5703125" customWidth="1"/>
    <col min="9" max="9" width="10" customWidth="1"/>
    <col min="10" max="10" width="19.7109375" customWidth="1"/>
    <col min="11" max="15" width="18.7109375" customWidth="1"/>
    <col min="16" max="16" width="12" customWidth="1"/>
    <col min="17" max="17" width="15" customWidth="1"/>
    <col min="18" max="18" width="20.85546875" customWidth="1"/>
    <col min="19" max="19" width="20.140625" customWidth="1"/>
    <col min="20" max="23" width="20.85546875" customWidth="1"/>
    <col min="24" max="24" width="53.28515625" customWidth="1"/>
  </cols>
  <sheetData>
    <row r="2" spans="2:24" ht="18" x14ac:dyDescent="0.25">
      <c r="B2" s="102" t="s">
        <v>125</v>
      </c>
      <c r="C2" s="41"/>
      <c r="E2" s="26"/>
      <c r="F2" s="26"/>
      <c r="G2" s="26"/>
      <c r="H2" s="26"/>
    </row>
    <row r="3" spans="2:24" x14ac:dyDescent="0.2">
      <c r="B3" s="31"/>
      <c r="C3" s="25"/>
      <c r="E3" s="26"/>
      <c r="F3" s="26"/>
      <c r="G3" s="26"/>
      <c r="H3" s="26"/>
    </row>
    <row r="4" spans="2:24" ht="15.75" customHeight="1" x14ac:dyDescent="0.2">
      <c r="E4" s="36" t="s">
        <v>100</v>
      </c>
      <c r="F4" s="36"/>
      <c r="G4" s="36"/>
      <c r="H4" s="36"/>
      <c r="I4" s="34"/>
      <c r="J4" s="34"/>
    </row>
    <row r="5" spans="2:24" ht="15.75" customHeight="1" x14ac:dyDescent="0.2">
      <c r="B5" s="106" t="s">
        <v>60</v>
      </c>
      <c r="C5" s="106" t="s">
        <v>101</v>
      </c>
      <c r="D5" s="106" t="s">
        <v>102</v>
      </c>
      <c r="E5" s="106" t="s">
        <v>103</v>
      </c>
      <c r="F5" s="106" t="s">
        <v>104</v>
      </c>
      <c r="G5" s="106" t="s">
        <v>110</v>
      </c>
      <c r="H5" s="106" t="s">
        <v>263</v>
      </c>
      <c r="I5" s="106" t="s">
        <v>234</v>
      </c>
      <c r="J5" s="106" t="s">
        <v>329</v>
      </c>
      <c r="K5" s="106" t="s">
        <v>330</v>
      </c>
      <c r="L5" s="106" t="s">
        <v>347</v>
      </c>
      <c r="M5" s="106" t="s">
        <v>348</v>
      </c>
      <c r="N5" s="106" t="s">
        <v>349</v>
      </c>
      <c r="O5" s="106" t="s">
        <v>350</v>
      </c>
      <c r="P5" s="106" t="s">
        <v>132</v>
      </c>
      <c r="Q5" s="106" t="s">
        <v>133</v>
      </c>
      <c r="R5" s="106" t="s">
        <v>369</v>
      </c>
      <c r="S5" s="106" t="s">
        <v>370</v>
      </c>
      <c r="T5" s="106" t="s">
        <v>371</v>
      </c>
      <c r="U5" s="106" t="s">
        <v>375</v>
      </c>
      <c r="V5" s="106" t="s">
        <v>376</v>
      </c>
      <c r="W5" s="106" t="s">
        <v>377</v>
      </c>
      <c r="X5" s="106" t="s">
        <v>205</v>
      </c>
    </row>
    <row r="6" spans="2:24" ht="31.7" customHeight="1" x14ac:dyDescent="0.2">
      <c r="B6" s="118" t="s">
        <v>111</v>
      </c>
      <c r="C6" s="118" t="s">
        <v>70</v>
      </c>
      <c r="D6" s="118" t="s">
        <v>112</v>
      </c>
      <c r="E6" s="118" t="s">
        <v>113</v>
      </c>
      <c r="F6" s="118" t="s">
        <v>114</v>
      </c>
      <c r="G6" s="118" t="s">
        <v>270</v>
      </c>
      <c r="H6" s="118" t="s">
        <v>77</v>
      </c>
      <c r="I6" s="118"/>
      <c r="J6" s="118"/>
      <c r="K6" s="118" t="s">
        <v>277</v>
      </c>
      <c r="L6" s="118" t="s">
        <v>277</v>
      </c>
      <c r="M6" s="118" t="s">
        <v>277</v>
      </c>
      <c r="N6" s="118" t="s">
        <v>277</v>
      </c>
      <c r="O6" s="118" t="s">
        <v>277</v>
      </c>
      <c r="P6" s="118"/>
      <c r="Q6" s="118"/>
      <c r="R6" s="118" t="s">
        <v>372</v>
      </c>
      <c r="S6" s="118" t="s">
        <v>373</v>
      </c>
      <c r="T6" s="118" t="s">
        <v>374</v>
      </c>
      <c r="U6" s="118" t="s">
        <v>378</v>
      </c>
      <c r="V6" s="118" t="s">
        <v>379</v>
      </c>
      <c r="W6" s="118" t="s">
        <v>380</v>
      </c>
    </row>
    <row r="7" spans="2:24" ht="18.95" customHeight="1" x14ac:dyDescent="0.2">
      <c r="B7" s="205" t="str">
        <f>SEC_Processes!D24</f>
        <v>TRANSF_HV-MV</v>
      </c>
      <c r="C7" s="205" t="str">
        <f>SEC_Processes!E24</f>
        <v>Electricity Transformation and Distribution High Voltage to Medium Voltage</v>
      </c>
      <c r="D7" s="205" t="str">
        <f>SEC_Comm!C7</f>
        <v>ELEC_HV</v>
      </c>
      <c r="E7" s="205" t="str">
        <f>SEC_Comm!C10</f>
        <v>ELEC_MV_GRID</v>
      </c>
      <c r="F7" s="206">
        <v>0.94</v>
      </c>
      <c r="G7">
        <v>5.5</v>
      </c>
      <c r="H7">
        <v>1</v>
      </c>
      <c r="I7">
        <v>31.536000000000001</v>
      </c>
      <c r="J7">
        <v>0</v>
      </c>
      <c r="K7">
        <v>50</v>
      </c>
      <c r="L7">
        <v>50</v>
      </c>
      <c r="M7">
        <v>0</v>
      </c>
      <c r="N7">
        <v>0</v>
      </c>
      <c r="O7">
        <v>0</v>
      </c>
      <c r="P7">
        <v>1</v>
      </c>
      <c r="Q7">
        <v>1</v>
      </c>
      <c r="U7">
        <v>1</v>
      </c>
      <c r="V7">
        <v>1</v>
      </c>
      <c r="W7">
        <v>1</v>
      </c>
      <c r="X7" s="1">
        <f>1-F7</f>
        <v>6.0000000000000053E-2</v>
      </c>
    </row>
    <row r="8" spans="2:24" ht="18.95" customHeight="1" x14ac:dyDescent="0.2">
      <c r="B8" s="207" t="str">
        <f>SEC_Processes!D25</f>
        <v>TRANSF_MV-LV</v>
      </c>
      <c r="C8" s="207" t="str">
        <f>SEC_Processes!E25</f>
        <v>Electricity Transformation and Distribution Medium Voltage to Low Voltage</v>
      </c>
      <c r="D8" s="207" t="str">
        <f>SEC_Comm!C10</f>
        <v>ELEC_MV_GRID</v>
      </c>
      <c r="E8" s="62"/>
      <c r="F8" s="208">
        <v>0.91</v>
      </c>
      <c r="G8" s="62">
        <v>5.5</v>
      </c>
      <c r="H8" s="62">
        <v>1</v>
      </c>
      <c r="I8" s="62">
        <v>31.536000000000001</v>
      </c>
      <c r="J8" s="62">
        <v>0</v>
      </c>
      <c r="K8" s="62">
        <v>80</v>
      </c>
      <c r="L8" s="62">
        <v>70</v>
      </c>
      <c r="M8" s="62">
        <v>0</v>
      </c>
      <c r="N8" s="62">
        <v>0</v>
      </c>
      <c r="O8" s="62">
        <v>0</v>
      </c>
      <c r="P8" s="62">
        <v>1</v>
      </c>
      <c r="Q8" s="62">
        <v>1</v>
      </c>
      <c r="R8" s="62"/>
      <c r="S8" s="62"/>
      <c r="T8" s="62"/>
      <c r="U8" s="62">
        <v>1</v>
      </c>
      <c r="V8" s="62">
        <v>1</v>
      </c>
      <c r="W8" s="62">
        <v>1</v>
      </c>
    </row>
    <row r="9" spans="2:24" ht="18.95" customHeight="1" x14ac:dyDescent="0.2">
      <c r="B9" s="207"/>
      <c r="C9" s="207"/>
      <c r="D9" s="207"/>
      <c r="E9" s="207" t="str">
        <f>SEC_Comm!C11</f>
        <v>ELEC_LV_GRID</v>
      </c>
      <c r="F9" s="208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</row>
    <row r="10" spans="2:24" ht="18.95" customHeight="1" x14ac:dyDescent="0.2">
      <c r="B10" s="205" t="str">
        <f>SEC_Processes!D26</f>
        <v>DISTRIBU_LV</v>
      </c>
      <c r="C10" s="205" t="str">
        <f>SEC_Processes!E26</f>
        <v>Electricity distribution to Low Voltage</v>
      </c>
      <c r="D10" t="s">
        <v>306</v>
      </c>
      <c r="F10">
        <v>0.89</v>
      </c>
      <c r="G10">
        <v>5.5</v>
      </c>
      <c r="H10">
        <v>1</v>
      </c>
      <c r="I10">
        <v>31.536000000000001</v>
      </c>
      <c r="J10">
        <v>0</v>
      </c>
      <c r="K10">
        <v>150</v>
      </c>
      <c r="L10">
        <v>150</v>
      </c>
      <c r="M10">
        <v>0</v>
      </c>
      <c r="N10">
        <v>0</v>
      </c>
      <c r="O10">
        <v>0</v>
      </c>
      <c r="P10">
        <v>1</v>
      </c>
      <c r="Q10">
        <v>1</v>
      </c>
      <c r="R10">
        <v>5</v>
      </c>
      <c r="S10">
        <v>4.2</v>
      </c>
      <c r="T10">
        <v>3.7</v>
      </c>
      <c r="U10">
        <v>1</v>
      </c>
      <c r="V10">
        <v>1</v>
      </c>
      <c r="W10">
        <v>1</v>
      </c>
    </row>
    <row r="11" spans="2:24" ht="18.95" customHeight="1" x14ac:dyDescent="0.2">
      <c r="B11" s="207"/>
      <c r="C11" s="207"/>
      <c r="D11" s="207"/>
      <c r="E11" s="207" t="s">
        <v>290</v>
      </c>
      <c r="F11" s="207"/>
      <c r="G11" s="207"/>
      <c r="H11" s="207"/>
      <c r="I11" s="207"/>
      <c r="J11" s="207"/>
      <c r="K11" s="207"/>
      <c r="L11" s="207"/>
      <c r="M11" s="207"/>
      <c r="N11" s="207"/>
      <c r="O11" s="207"/>
      <c r="P11" s="207"/>
      <c r="Q11" s="207"/>
      <c r="R11" s="207"/>
      <c r="S11" s="207"/>
      <c r="T11" s="207"/>
      <c r="U11" s="207"/>
      <c r="V11" s="207"/>
      <c r="W11" s="207"/>
    </row>
    <row r="12" spans="2:24" x14ac:dyDescent="0.2">
      <c r="E12" s="23"/>
      <c r="F12" s="23"/>
      <c r="G12" s="23"/>
      <c r="H12" s="23"/>
    </row>
    <row r="16" spans="2:24" x14ac:dyDescent="0.2">
      <c r="F16" s="162"/>
      <c r="G16" s="162"/>
      <c r="H16" s="162"/>
    </row>
    <row r="17" spans="4:8" x14ac:dyDescent="0.2">
      <c r="F17" s="162"/>
      <c r="G17" s="162"/>
      <c r="H17" s="162"/>
    </row>
    <row r="18" spans="4:8" x14ac:dyDescent="0.2">
      <c r="F18" s="163"/>
      <c r="G18" s="163"/>
      <c r="H18" s="163"/>
    </row>
    <row r="26" spans="4:8" x14ac:dyDescent="0.2">
      <c r="D26">
        <v>100</v>
      </c>
    </row>
    <row r="27" spans="4:8" x14ac:dyDescent="0.2">
      <c r="D27">
        <f>D26/F7</f>
        <v>106.38297872340426</v>
      </c>
    </row>
    <row r="28" spans="4:8" x14ac:dyDescent="0.2">
      <c r="D28">
        <f>D27+G7</f>
        <v>111.88297872340426</v>
      </c>
    </row>
  </sheetData>
  <phoneticPr fontId="45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9E4A4-049B-4255-AFA6-29D5915AF772}">
  <dimension ref="B2:U14"/>
  <sheetViews>
    <sheetView workbookViewId="0">
      <selection activeCell="N19" sqref="N19"/>
    </sheetView>
  </sheetViews>
  <sheetFormatPr defaultRowHeight="12.75" x14ac:dyDescent="0.2"/>
  <cols>
    <col min="2" max="2" width="11.5703125" customWidth="1"/>
    <col min="3" max="3" width="16.85546875" customWidth="1"/>
    <col min="4" max="4" width="9.140625" bestFit="1" customWidth="1"/>
    <col min="5" max="5" width="11.140625" bestFit="1" customWidth="1"/>
    <col min="6" max="6" width="16.5703125" customWidth="1"/>
    <col min="8" max="8" width="11.140625" customWidth="1"/>
    <col min="9" max="9" width="12" customWidth="1"/>
    <col min="10" max="10" width="12.140625" customWidth="1"/>
    <col min="11" max="11" width="11.85546875" customWidth="1"/>
  </cols>
  <sheetData>
    <row r="2" spans="2:21" ht="18" x14ac:dyDescent="0.25">
      <c r="B2" s="149" t="s">
        <v>224</v>
      </c>
      <c r="C2" s="150"/>
      <c r="D2" s="150"/>
      <c r="E2" s="150"/>
      <c r="F2" s="150"/>
      <c r="G2" s="150"/>
      <c r="H2" s="150"/>
      <c r="I2" s="150"/>
      <c r="J2" s="150"/>
      <c r="K2" s="150"/>
    </row>
    <row r="4" spans="2:21" x14ac:dyDescent="0.2">
      <c r="E4" s="151" t="s">
        <v>100</v>
      </c>
      <c r="F4" s="151"/>
      <c r="G4" s="151"/>
      <c r="H4" s="151"/>
      <c r="I4" s="151"/>
      <c r="J4" s="151"/>
      <c r="K4" s="151"/>
    </row>
    <row r="5" spans="2:21" ht="25.5" x14ac:dyDescent="0.2">
      <c r="B5" s="152" t="s">
        <v>60</v>
      </c>
      <c r="C5" s="152" t="s">
        <v>122</v>
      </c>
      <c r="D5" s="152" t="s">
        <v>102</v>
      </c>
      <c r="E5" s="152" t="s">
        <v>103</v>
      </c>
      <c r="F5" s="152" t="s">
        <v>248</v>
      </c>
      <c r="G5" s="152" t="s">
        <v>108</v>
      </c>
      <c r="H5" s="154" t="s">
        <v>264</v>
      </c>
      <c r="I5" s="154" t="s">
        <v>228</v>
      </c>
      <c r="J5" s="154" t="s">
        <v>229</v>
      </c>
      <c r="K5" s="154" t="s">
        <v>233</v>
      </c>
      <c r="L5" s="152" t="s">
        <v>234</v>
      </c>
      <c r="M5" s="152" t="s">
        <v>235</v>
      </c>
      <c r="N5" s="152" t="s">
        <v>249</v>
      </c>
      <c r="O5" s="159" t="s">
        <v>259</v>
      </c>
      <c r="P5" s="159" t="s">
        <v>250</v>
      </c>
      <c r="Q5" s="159" t="s">
        <v>251</v>
      </c>
      <c r="R5" s="159" t="s">
        <v>252</v>
      </c>
      <c r="S5" s="159" t="s">
        <v>253</v>
      </c>
      <c r="T5" s="159" t="s">
        <v>254</v>
      </c>
      <c r="U5" s="159" t="s">
        <v>255</v>
      </c>
    </row>
    <row r="6" spans="2:21" ht="13.5" thickBot="1" x14ac:dyDescent="0.25">
      <c r="B6" s="155" t="s">
        <v>239</v>
      </c>
      <c r="C6" s="155"/>
      <c r="D6" s="155"/>
      <c r="E6" s="156"/>
      <c r="F6" s="156" t="s">
        <v>77</v>
      </c>
      <c r="G6" s="156"/>
      <c r="H6" s="156"/>
      <c r="I6" s="156"/>
      <c r="J6" s="156"/>
      <c r="K6" s="156"/>
      <c r="L6" s="155" t="s">
        <v>241</v>
      </c>
      <c r="M6" s="155" t="s">
        <v>240</v>
      </c>
      <c r="N6" s="155" t="s">
        <v>258</v>
      </c>
      <c r="O6" s="155"/>
      <c r="P6" s="155"/>
      <c r="Q6" s="155"/>
      <c r="R6" s="155"/>
      <c r="S6" s="155"/>
      <c r="T6" s="155"/>
      <c r="U6" s="155"/>
    </row>
    <row r="7" spans="2:21" x14ac:dyDescent="0.2">
      <c r="B7" s="12" t="str">
        <f>SEC_Processes!D22</f>
        <v>IMP_ELC_HV</v>
      </c>
      <c r="C7" s="12" t="str">
        <f>SEC_Processes!E22</f>
        <v>Import of Electricity</v>
      </c>
      <c r="D7" s="12"/>
      <c r="E7" s="12" t="str">
        <f>SEC_Comm!C7</f>
        <v>ELEC_HV</v>
      </c>
      <c r="F7" s="12">
        <v>0</v>
      </c>
      <c r="G7" s="12">
        <v>1</v>
      </c>
      <c r="H7" s="12">
        <v>0.5</v>
      </c>
      <c r="I7" s="12">
        <v>0.5</v>
      </c>
      <c r="J7" s="12">
        <v>1</v>
      </c>
      <c r="K7" s="12">
        <v>1</v>
      </c>
      <c r="L7" s="12">
        <v>31.536000000000001</v>
      </c>
      <c r="M7" s="10">
        <v>1</v>
      </c>
      <c r="N7" s="161">
        <v>30</v>
      </c>
      <c r="O7" s="12"/>
      <c r="P7" s="12"/>
      <c r="Q7" s="12"/>
      <c r="R7" s="12"/>
      <c r="S7" s="12"/>
      <c r="T7" s="12"/>
      <c r="U7" s="12"/>
    </row>
    <row r="8" spans="2:21" ht="13.5" thickBot="1" x14ac:dyDescent="0.25">
      <c r="B8" s="157"/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57"/>
      <c r="U8" s="157"/>
    </row>
    <row r="11" spans="2:21" x14ac:dyDescent="0.2">
      <c r="H11" t="s">
        <v>265</v>
      </c>
      <c r="K11">
        <f>H7*L7</f>
        <v>15.768000000000001</v>
      </c>
      <c r="L11" t="s">
        <v>266</v>
      </c>
    </row>
    <row r="12" spans="2:21" x14ac:dyDescent="0.2">
      <c r="K12">
        <f>K11/3.6</f>
        <v>4.38</v>
      </c>
      <c r="L12" t="s">
        <v>267</v>
      </c>
    </row>
    <row r="13" spans="2:21" x14ac:dyDescent="0.2">
      <c r="H13" t="s">
        <v>269</v>
      </c>
      <c r="K13">
        <v>2</v>
      </c>
    </row>
    <row r="14" spans="2:21" x14ac:dyDescent="0.2">
      <c r="H14" t="s">
        <v>268</v>
      </c>
      <c r="K14">
        <f>K13/K12</f>
        <v>0.45662100456621008</v>
      </c>
    </row>
  </sheetData>
  <phoneticPr fontId="4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5553C-49E7-4D19-AFFA-98D529B39566}">
  <dimension ref="B4:V17"/>
  <sheetViews>
    <sheetView workbookViewId="0">
      <selection activeCell="R11" sqref="R11"/>
    </sheetView>
  </sheetViews>
  <sheetFormatPr defaultRowHeight="12.75" x14ac:dyDescent="0.2"/>
  <cols>
    <col min="2" max="2" width="15.42578125" customWidth="1"/>
    <col min="3" max="3" width="16.28515625" customWidth="1"/>
    <col min="4" max="4" width="17.140625" customWidth="1"/>
    <col min="5" max="5" width="13.85546875" customWidth="1"/>
    <col min="6" max="6" width="15.28515625" customWidth="1"/>
    <col min="8" max="8" width="13.28515625" customWidth="1"/>
    <col min="9" max="9" width="13.85546875" customWidth="1"/>
    <col min="10" max="11" width="12.140625" customWidth="1"/>
    <col min="12" max="12" width="13" customWidth="1"/>
    <col min="13" max="13" width="11.28515625" customWidth="1"/>
  </cols>
  <sheetData>
    <row r="4" spans="2:22" x14ac:dyDescent="0.2">
      <c r="E4" s="151" t="s">
        <v>100</v>
      </c>
      <c r="F4" s="151"/>
      <c r="G4" s="151"/>
      <c r="H4" s="151"/>
      <c r="I4" s="151"/>
      <c r="J4" s="151"/>
      <c r="K4" s="151"/>
      <c r="L4" s="151"/>
    </row>
    <row r="5" spans="2:22" ht="25.5" x14ac:dyDescent="0.2">
      <c r="B5" s="152" t="s">
        <v>60</v>
      </c>
      <c r="C5" s="152" t="s">
        <v>122</v>
      </c>
      <c r="D5" s="152" t="s">
        <v>102</v>
      </c>
      <c r="E5" s="152" t="s">
        <v>103</v>
      </c>
      <c r="F5" s="152" t="s">
        <v>248</v>
      </c>
      <c r="G5" s="152" t="s">
        <v>108</v>
      </c>
      <c r="H5" s="154" t="s">
        <v>264</v>
      </c>
      <c r="I5" s="154" t="s">
        <v>228</v>
      </c>
      <c r="J5" s="154" t="s">
        <v>229</v>
      </c>
      <c r="K5" s="154" t="s">
        <v>231</v>
      </c>
      <c r="L5" s="154" t="s">
        <v>233</v>
      </c>
      <c r="M5" s="152" t="s">
        <v>234</v>
      </c>
      <c r="N5" s="152" t="s">
        <v>235</v>
      </c>
      <c r="O5" s="152" t="s">
        <v>249</v>
      </c>
      <c r="P5" s="159" t="s">
        <v>259</v>
      </c>
      <c r="Q5" s="159" t="s">
        <v>250</v>
      </c>
      <c r="R5" s="159" t="s">
        <v>251</v>
      </c>
      <c r="S5" s="159" t="s">
        <v>252</v>
      </c>
      <c r="T5" s="159" t="s">
        <v>253</v>
      </c>
      <c r="U5" s="159" t="s">
        <v>254</v>
      </c>
      <c r="V5" s="159" t="s">
        <v>255</v>
      </c>
    </row>
    <row r="6" spans="2:22" ht="13.5" thickBot="1" x14ac:dyDescent="0.25">
      <c r="B6" s="155" t="s">
        <v>239</v>
      </c>
      <c r="C6" s="155"/>
      <c r="D6" s="155"/>
      <c r="E6" s="156"/>
      <c r="F6" s="156" t="s">
        <v>77</v>
      </c>
      <c r="G6" s="156"/>
      <c r="H6" s="156"/>
      <c r="I6" s="156"/>
      <c r="J6" s="156"/>
      <c r="K6" s="156"/>
      <c r="L6" s="156"/>
      <c r="M6" s="155" t="s">
        <v>241</v>
      </c>
      <c r="N6" s="155" t="s">
        <v>240</v>
      </c>
      <c r="O6" s="155" t="s">
        <v>258</v>
      </c>
      <c r="P6" s="155"/>
      <c r="Q6" s="155"/>
      <c r="R6" s="155" t="s">
        <v>351</v>
      </c>
      <c r="S6" s="155" t="s">
        <v>351</v>
      </c>
      <c r="T6" s="155" t="s">
        <v>351</v>
      </c>
      <c r="U6" s="155" t="s">
        <v>351</v>
      </c>
      <c r="V6" s="155" t="s">
        <v>351</v>
      </c>
    </row>
    <row r="7" spans="2:22" x14ac:dyDescent="0.2">
      <c r="B7" s="12" t="str">
        <f>SEC_Processes!D23</f>
        <v>EXP_ELC_HV</v>
      </c>
      <c r="C7" s="12" t="str">
        <f>SEC_Processes!E23</f>
        <v>Export of Electicity</v>
      </c>
      <c r="D7" s="12" t="str">
        <f>SEC_Comm!C7</f>
        <v>ELEC_HV</v>
      </c>
      <c r="E7" s="12"/>
      <c r="F7" s="12">
        <v>1</v>
      </c>
      <c r="G7" s="12">
        <v>1</v>
      </c>
      <c r="H7" s="12">
        <f>G17</f>
        <v>14.04</v>
      </c>
      <c r="I7" s="12">
        <f>G17</f>
        <v>14.04</v>
      </c>
      <c r="J7" s="12">
        <v>7.02</v>
      </c>
      <c r="K7" s="12">
        <v>0</v>
      </c>
      <c r="L7" s="12">
        <v>0</v>
      </c>
      <c r="M7" s="12">
        <v>31.536000000000001</v>
      </c>
      <c r="N7" s="10">
        <v>1</v>
      </c>
      <c r="O7" s="161">
        <v>30</v>
      </c>
      <c r="P7" s="12">
        <v>11</v>
      </c>
      <c r="Q7" s="12">
        <v>11</v>
      </c>
      <c r="R7" s="12">
        <v>11</v>
      </c>
      <c r="S7" s="12">
        <v>11</v>
      </c>
      <c r="T7" s="12">
        <v>11</v>
      </c>
      <c r="U7" s="12">
        <v>11</v>
      </c>
      <c r="V7" s="12">
        <v>11</v>
      </c>
    </row>
    <row r="8" spans="2:22" ht="13.5" thickBot="1" x14ac:dyDescent="0.25">
      <c r="B8" s="157"/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57"/>
      <c r="U8" s="157"/>
      <c r="V8" s="157"/>
    </row>
    <row r="15" spans="2:22" x14ac:dyDescent="0.2">
      <c r="C15" t="s">
        <v>324</v>
      </c>
      <c r="D15" t="s">
        <v>38</v>
      </c>
      <c r="F15" t="s">
        <v>323</v>
      </c>
      <c r="G15" t="s">
        <v>38</v>
      </c>
    </row>
    <row r="16" spans="2:22" x14ac:dyDescent="0.2">
      <c r="C16">
        <v>1</v>
      </c>
      <c r="D16">
        <v>3.6</v>
      </c>
    </row>
    <row r="17" spans="6:7" x14ac:dyDescent="0.2">
      <c r="F17">
        <v>3.9</v>
      </c>
      <c r="G17">
        <f>F17*D16</f>
        <v>14.04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36E24-C3A0-4652-8718-B7E9EE8EC2E5}">
  <dimension ref="B2:U8"/>
  <sheetViews>
    <sheetView workbookViewId="0">
      <selection activeCell="N13" sqref="N13"/>
    </sheetView>
  </sheetViews>
  <sheetFormatPr defaultRowHeight="12.75" x14ac:dyDescent="0.2"/>
  <cols>
    <col min="2" max="2" width="39" customWidth="1"/>
    <col min="3" max="3" width="20.85546875" customWidth="1"/>
  </cols>
  <sheetData>
    <row r="2" spans="2:21" ht="18" x14ac:dyDescent="0.25">
      <c r="B2" s="149" t="s">
        <v>224</v>
      </c>
      <c r="C2" s="150"/>
      <c r="D2" s="150"/>
      <c r="E2" s="150"/>
      <c r="F2" s="150"/>
    </row>
    <row r="4" spans="2:21" x14ac:dyDescent="0.2">
      <c r="E4" s="151" t="s">
        <v>100</v>
      </c>
    </row>
    <row r="5" spans="2:21" ht="38.25" x14ac:dyDescent="0.2">
      <c r="B5" s="152" t="s">
        <v>60</v>
      </c>
      <c r="C5" s="152" t="s">
        <v>122</v>
      </c>
      <c r="D5" s="152" t="s">
        <v>102</v>
      </c>
      <c r="E5" s="152" t="s">
        <v>103</v>
      </c>
      <c r="F5" s="153" t="s">
        <v>225</v>
      </c>
      <c r="G5" s="158" t="s">
        <v>226</v>
      </c>
      <c r="H5" s="154" t="s">
        <v>227</v>
      </c>
      <c r="I5" s="154" t="s">
        <v>228</v>
      </c>
      <c r="J5" s="154" t="s">
        <v>229</v>
      </c>
      <c r="K5" s="154" t="s">
        <v>230</v>
      </c>
      <c r="L5" s="154" t="s">
        <v>231</v>
      </c>
      <c r="M5" s="154" t="s">
        <v>232</v>
      </c>
      <c r="N5" s="154" t="s">
        <v>233</v>
      </c>
      <c r="O5" s="152" t="s">
        <v>234</v>
      </c>
      <c r="P5" s="152" t="s">
        <v>235</v>
      </c>
      <c r="Q5" s="152" t="s">
        <v>236</v>
      </c>
      <c r="R5" s="152" t="s">
        <v>109</v>
      </c>
      <c r="S5" s="152" t="s">
        <v>110</v>
      </c>
      <c r="T5" s="159" t="s">
        <v>237</v>
      </c>
      <c r="U5" s="160" t="s">
        <v>238</v>
      </c>
    </row>
    <row r="6" spans="2:21" ht="13.5" thickBot="1" x14ac:dyDescent="0.25">
      <c r="B6" s="155" t="s">
        <v>239</v>
      </c>
      <c r="C6" s="155"/>
      <c r="D6" s="155"/>
      <c r="E6" s="156"/>
      <c r="F6" s="156"/>
      <c r="G6" s="155" t="s">
        <v>240</v>
      </c>
      <c r="H6" s="155" t="s">
        <v>77</v>
      </c>
      <c r="I6" s="155" t="s">
        <v>77</v>
      </c>
      <c r="J6" s="155" t="s">
        <v>77</v>
      </c>
      <c r="K6" s="155" t="s">
        <v>77</v>
      </c>
      <c r="L6" s="155" t="s">
        <v>77</v>
      </c>
      <c r="M6" s="155" t="s">
        <v>77</v>
      </c>
      <c r="N6" s="155" t="s">
        <v>77</v>
      </c>
      <c r="O6" s="155" t="s">
        <v>241</v>
      </c>
      <c r="P6" s="155" t="s">
        <v>240</v>
      </c>
      <c r="Q6" s="155" t="s">
        <v>242</v>
      </c>
      <c r="R6" s="155" t="s">
        <v>278</v>
      </c>
      <c r="S6" s="155" t="s">
        <v>243</v>
      </c>
      <c r="T6" s="155"/>
      <c r="U6" s="155"/>
    </row>
    <row r="7" spans="2:21" x14ac:dyDescent="0.2">
      <c r="B7" s="12" t="str">
        <f>SEC_Processes!D20</f>
        <v>ELE_EX_HIDRO_STORAGE_PUMP</v>
      </c>
      <c r="C7" s="12" t="s">
        <v>244</v>
      </c>
      <c r="D7" s="12" t="s">
        <v>153</v>
      </c>
      <c r="E7" s="12" t="s">
        <v>153</v>
      </c>
      <c r="F7" s="12"/>
      <c r="G7" s="11">
        <v>0.7</v>
      </c>
      <c r="H7" s="12">
        <v>0.2</v>
      </c>
      <c r="I7" s="12">
        <v>0.2</v>
      </c>
      <c r="J7" s="12">
        <v>0.3</v>
      </c>
      <c r="K7" s="12">
        <v>0.3</v>
      </c>
      <c r="L7" s="12">
        <v>0.3</v>
      </c>
      <c r="M7" s="12">
        <v>0.3</v>
      </c>
      <c r="N7" s="12">
        <v>0.3</v>
      </c>
      <c r="O7" s="12">
        <v>31.536000000000001</v>
      </c>
      <c r="P7" s="10">
        <v>1</v>
      </c>
      <c r="Q7" s="12">
        <v>25</v>
      </c>
      <c r="R7" s="12">
        <v>15</v>
      </c>
      <c r="S7" s="12">
        <v>1E-3</v>
      </c>
      <c r="T7" s="12" t="s">
        <v>36</v>
      </c>
      <c r="U7" s="12">
        <v>1</v>
      </c>
    </row>
    <row r="8" spans="2:21" ht="13.5" thickBot="1" x14ac:dyDescent="0.25">
      <c r="B8" s="157"/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57" t="s">
        <v>245</v>
      </c>
      <c r="U8" s="157">
        <v>0.25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Arkusz8"/>
  <dimension ref="B2:I11"/>
  <sheetViews>
    <sheetView zoomScale="115" zoomScaleNormal="115" workbookViewId="0">
      <selection activeCell="B7" sqref="B7:G7"/>
    </sheetView>
  </sheetViews>
  <sheetFormatPr defaultRowHeight="12.75" x14ac:dyDescent="0.2"/>
  <cols>
    <col min="1" max="1" width="3" customWidth="1"/>
    <col min="2" max="2" width="30.140625" customWidth="1"/>
    <col min="3" max="3" width="14" customWidth="1"/>
    <col min="4" max="4" width="11.28515625" customWidth="1"/>
    <col min="7" max="7" width="12.140625" customWidth="1"/>
  </cols>
  <sheetData>
    <row r="2" spans="2:9" ht="15" x14ac:dyDescent="0.2">
      <c r="B2" s="59" t="s">
        <v>126</v>
      </c>
      <c r="C2" s="39"/>
      <c r="D2" s="39"/>
      <c r="E2" s="39"/>
      <c r="F2" s="39"/>
      <c r="G2" s="39"/>
      <c r="H2" s="39"/>
      <c r="I2" s="39"/>
    </row>
    <row r="3" spans="2:9" x14ac:dyDescent="0.2">
      <c r="B3" s="60"/>
      <c r="C3" s="60"/>
      <c r="D3" s="60"/>
      <c r="E3" s="60"/>
      <c r="F3" s="60"/>
      <c r="G3" s="60"/>
      <c r="H3" s="40"/>
      <c r="I3" s="40"/>
    </row>
    <row r="4" spans="2:9" ht="15.75" customHeight="1" x14ac:dyDescent="0.2">
      <c r="B4" s="38"/>
      <c r="C4" s="36" t="s">
        <v>127</v>
      </c>
      <c r="D4" s="40"/>
      <c r="E4" s="40"/>
      <c r="F4" s="40"/>
      <c r="G4" s="40"/>
    </row>
    <row r="5" spans="2:9" ht="15.75" customHeight="1" x14ac:dyDescent="0.2">
      <c r="B5" s="106" t="s">
        <v>60</v>
      </c>
      <c r="C5" s="106" t="s">
        <v>22</v>
      </c>
      <c r="D5" s="106" t="s">
        <v>305</v>
      </c>
      <c r="E5" s="106" t="s">
        <v>204</v>
      </c>
      <c r="F5" s="106" t="s">
        <v>328</v>
      </c>
      <c r="G5" s="106" t="s">
        <v>321</v>
      </c>
      <c r="I5" s="98" t="s">
        <v>128</v>
      </c>
    </row>
    <row r="6" spans="2:9" ht="38.25" x14ac:dyDescent="0.2">
      <c r="B6" s="191" t="s">
        <v>111</v>
      </c>
      <c r="C6" s="191" t="s">
        <v>129</v>
      </c>
      <c r="D6" s="226" t="s">
        <v>130</v>
      </c>
      <c r="E6" s="226"/>
      <c r="F6" s="226"/>
      <c r="G6" s="226"/>
    </row>
    <row r="7" spans="2:9" ht="15.75" customHeight="1" x14ac:dyDescent="0.2">
      <c r="B7" s="189" t="str">
        <f>SEC_Processes!D15</f>
        <v>ELE_EX_HC</v>
      </c>
      <c r="C7" s="188" t="s">
        <v>45</v>
      </c>
      <c r="D7" s="179">
        <v>96</v>
      </c>
      <c r="E7" s="190"/>
      <c r="F7" s="190"/>
      <c r="G7" s="190"/>
    </row>
    <row r="8" spans="2:9" ht="15.75" customHeight="1" x14ac:dyDescent="0.2">
      <c r="B8" s="174" t="str">
        <f>SEC_Processes!D16</f>
        <v>ELE_EX_OILGAS</v>
      </c>
      <c r="C8" s="188" t="s">
        <v>45</v>
      </c>
      <c r="D8" s="175"/>
      <c r="E8" s="175">
        <v>112</v>
      </c>
      <c r="F8" s="175"/>
      <c r="G8" s="175"/>
    </row>
    <row r="9" spans="2:9" ht="15.75" customHeight="1" x14ac:dyDescent="0.2">
      <c r="B9" s="192" t="str">
        <f>SEC_Processes!D27</f>
        <v>REFINARY</v>
      </c>
      <c r="C9" s="195" t="s">
        <v>45</v>
      </c>
      <c r="D9" s="193"/>
      <c r="E9" s="193"/>
      <c r="F9" s="193"/>
      <c r="G9" s="194">
        <v>7.3</v>
      </c>
    </row>
    <row r="10" spans="2:9" ht="15.75" customHeight="1" x14ac:dyDescent="0.2"/>
    <row r="11" spans="2:9" ht="15.75" customHeight="1" x14ac:dyDescent="0.2"/>
  </sheetData>
  <mergeCells count="1">
    <mergeCell ref="D6:G6"/>
  </mergeCells>
  <phoneticPr fontId="17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D99FA-8D61-47C1-BBA6-824A0E7DE546}">
  <dimension ref="B2:O6"/>
  <sheetViews>
    <sheetView tabSelected="1" workbookViewId="0">
      <selection activeCell="F25" sqref="F25"/>
    </sheetView>
  </sheetViews>
  <sheetFormatPr defaultRowHeight="12.75" x14ac:dyDescent="0.2"/>
  <sheetData>
    <row r="2" spans="2:15" x14ac:dyDescent="0.2">
      <c r="C2" t="s">
        <v>352</v>
      </c>
    </row>
    <row r="4" spans="2:15" x14ac:dyDescent="0.2">
      <c r="B4" s="36" t="s">
        <v>353</v>
      </c>
    </row>
    <row r="5" spans="2:15" x14ac:dyDescent="0.2">
      <c r="B5" s="106" t="s">
        <v>354</v>
      </c>
      <c r="C5" s="106" t="s">
        <v>25</v>
      </c>
      <c r="D5" s="106" t="s">
        <v>355</v>
      </c>
      <c r="E5" s="106" t="s">
        <v>163</v>
      </c>
      <c r="F5" s="106" t="s">
        <v>356</v>
      </c>
      <c r="G5" s="106" t="s">
        <v>357</v>
      </c>
      <c r="H5" s="106" t="s">
        <v>358</v>
      </c>
      <c r="I5" s="106" t="s">
        <v>359</v>
      </c>
      <c r="J5" s="106" t="s">
        <v>360</v>
      </c>
      <c r="K5" s="106" t="s">
        <v>361</v>
      </c>
      <c r="L5" s="106" t="s">
        <v>362</v>
      </c>
      <c r="M5" s="106" t="s">
        <v>363</v>
      </c>
      <c r="N5" s="106" t="s">
        <v>364</v>
      </c>
      <c r="O5" s="106" t="s">
        <v>365</v>
      </c>
    </row>
    <row r="6" spans="2:15" x14ac:dyDescent="0.2">
      <c r="B6" s="209"/>
      <c r="C6" s="210" t="s">
        <v>366</v>
      </c>
      <c r="D6" s="211" t="s">
        <v>367</v>
      </c>
      <c r="E6" s="212"/>
      <c r="F6" s="212">
        <v>2</v>
      </c>
      <c r="G6" s="212"/>
      <c r="H6" s="209"/>
      <c r="I6" s="210" t="s">
        <v>368</v>
      </c>
      <c r="J6" s="211"/>
      <c r="K6" s="212"/>
      <c r="L6" s="212"/>
      <c r="M6" s="212"/>
      <c r="N6" s="209"/>
      <c r="O6" s="21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a0111623235845aab2bc86c0e704964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f9f4b9a3337047529e19b1dde5d7862c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A861A5-7E6A-41A7-8E0B-DCD15A12B5CB}">
  <ds:schemaRefs>
    <ds:schemaRef ds:uri="http://schemas.microsoft.com/office/2006/metadata/properties"/>
    <ds:schemaRef ds:uri="http://schemas.microsoft.com/office/infopath/2007/PartnerControls"/>
    <ds:schemaRef ds:uri="96cf5878-74d7-460f-a445-eb4c85d99a58"/>
    <ds:schemaRef ds:uri="833e474d-e424-4496-95f1-98e7780be11a"/>
    <ds:schemaRef ds:uri="154c1c0f-2c06-4f37-a5b1-faba3524bf7f"/>
    <ds:schemaRef ds:uri="0be4b9af-ad17-4489-a21e-b8b210aeb5f9"/>
  </ds:schemaRefs>
</ds:datastoreItem>
</file>

<file path=customXml/itemProps2.xml><?xml version="1.0" encoding="utf-8"?>
<ds:datastoreItem xmlns:ds="http://schemas.openxmlformats.org/officeDocument/2006/customXml" ds:itemID="{A551C1B6-05FC-4B61-8034-B37F3A0576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F99E302-BE07-471D-8957-5C4CD95A58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13</vt:i4>
      </vt:variant>
    </vt:vector>
  </HeadingPairs>
  <TitlesOfParts>
    <vt:vector size="13" baseType="lpstr">
      <vt:lpstr>BALANCE</vt:lpstr>
      <vt:lpstr>TOPOLOGY</vt:lpstr>
      <vt:lpstr>SEC_Comm</vt:lpstr>
      <vt:lpstr>SEC_Processes</vt:lpstr>
      <vt:lpstr>REF</vt:lpstr>
      <vt:lpstr>PP</vt:lpstr>
      <vt:lpstr>RES</vt:lpstr>
      <vt:lpstr>T&amp;D</vt:lpstr>
      <vt:lpstr>IMP</vt:lpstr>
      <vt:lpstr>EXP</vt:lpstr>
      <vt:lpstr>STG</vt:lpstr>
      <vt:lpstr>EMI</vt:lpstr>
      <vt:lpstr>IMPNRGZ_BND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Pier Luca Maria Buonomo</cp:lastModifiedBy>
  <cp:revision/>
  <dcterms:created xsi:type="dcterms:W3CDTF">2000-12-13T15:53:11Z</dcterms:created>
  <dcterms:modified xsi:type="dcterms:W3CDTF">2026-05-21T13:27:03Z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809963405132293</vt:r8>
  </property>
</Properties>
</file>