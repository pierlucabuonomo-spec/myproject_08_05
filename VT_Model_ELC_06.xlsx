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BB2C9BD6-B186-45E9-99A0-D9DAF6656EAF}" xr6:coauthVersionLast="47" xr6:coauthVersionMax="47" xr10:uidLastSave="{00000000-0000-0000-0000-000000000000}"/>
  <bookViews>
    <workbookView xWindow="25695" yWindow="0" windowWidth="26010" windowHeight="20985" tabRatio="901" activeTab="6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  <sheet name="IMPNRGZ_BND" sheetId="146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X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<sst xmlns="http://schemas.openxmlformats.org/spreadsheetml/2006/main" count="901" uniqueCount="381">
  <si>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</si>
  <si>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</si>
  <si>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</si>
  <si>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</si>
  <si>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</si>
  <si>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</si>
  <si>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</si>
  <si>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</si>
  <si>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</si>
  <si>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</si>
  <si>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</si>
  <si>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</si>
  <si>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</si>
  <si>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</si>
  <si>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</si>
  <si>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</si>
  <si>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</si>
  <si>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</si>
  <si>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</si>
  <si>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</si>
  <si>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</si>
  <si>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</si>
  <si>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</si>
  <si>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</si>
  <si>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</si>
  <si>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</si>
  <si>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</si>
  <si>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</si>
  <si>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</si>
  <si>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</si>
  <si>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</si>
  <si>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</si>
  <si>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</si>
  <si>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</si>
  <si>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</si>
  <si>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</si>
  <si>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</si>
  <si>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</si>
  <si>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</si>
  <si>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</si>
  <si>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</si>
  <si>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</si>
  <si>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</si>
  <si>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</si>
  <si>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</si>
  <si>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</si>
  <si>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</si>
  <si>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</si>
  <si>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</si>
  <si>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</si>
  <si>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</si>
  <si>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</si>
  <si>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</si>
  <si>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</si>
  <si>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</si>
  <si>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</si>
  <si>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</si>
  <si>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</si>
  <si>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</si>
  <si>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</si>
  <si>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</si>
  <si>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</si>
  <si>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</si>
  <si>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</si>
  <si>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</si>
  <si>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</si>
  <si>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</si>
  <si>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</si>
  <si>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</si>
  <si>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</si>
  <si>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</si>
  <si>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</si>
  <si>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</si>
  <si>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</si>
  <si>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</si>
  <si>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</si>
  <si>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</si>
  <si>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</si>
  <si>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</si>
  <si>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</si>
  <si>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</si>
  <si>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</si>
  <si>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</si>
  <si>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</si>
  <si>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</si>
  <si>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</si>
  <si>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</si>
  <si>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</si>
  <si>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</si>
  <si>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</si>
  <si>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</si>
  <si>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</si>
  <si>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</si>
  <si>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</si>
  <si>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</si>
  <si>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</si>
  <si>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</si>
  <si>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</si>
  <si>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</si>
  <si>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</si>
  <si>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</si>
  <si>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</si>
  <si>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</si>
  <si>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</si>
  <si>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</si>
  <si>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</si>
  <si>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</si>
  <si>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</si>
  <si>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</si>
  <si>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</si>
  <si>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</si>
  <si>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</si>
  <si>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</si>
  <si>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</si>
  <si>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</si>
  <si>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</si>
  <si>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</si>
  <si>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</si>
  <si>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</si>
  <si>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</si>
  <si>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</si>
  <si>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</si>
  <si>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</si>
  <si>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</si>
  <si>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</si>
  <si>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</si>
  <si>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</si>
  <si>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</si>
  <si>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</si>
  <si>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</si>
  <si>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</si>
  <si>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</si>
  <si>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</si>
  <si>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</si>
  <si>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</si>
  <si>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</si>
  <si>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</si>
  <si>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</si>
  <si>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</si>
  <si>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</si>
  <si>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</si>
  <si>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</si>
  <si>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</si>
  <si>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</si>
  <si>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</si>
  <si>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</si>
  <si>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</si>
  <si>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</si>
  <si>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</si>
  <si>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</si>
  <si>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</si>
  <si>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</si>
  <si>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</si>
  <si>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</si>
  <si>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</si>
  <si>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</si>
  <si>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</si>
  <si>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</si>
  <si>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</si>
  <si>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</si>
  <si>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</si>
  <si>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</si>
  <si>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</si>
  <si>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</si>
  <si>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</si>
  <si>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</si>
  <si>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</si>
  <si>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</si>
  <si>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</si>
  <si>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</si>
  <si>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</si>
  <si>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</si>
  <si>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</si>
  <si>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</si>
  <si>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</si>
  <si>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</si>
  <si>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</si>
  <si>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</si>
  <si>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</si>
  <si>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</si>
  <si>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</si>
  <si>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</si>
  <si>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</si>
  <si>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</si>
  <si>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</si>
  <si>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</si>
  <si>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</si>
  <si>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</si>
  <si>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</si>
  <si>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</si>
  <si>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</si>
  <si>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</si>
  <si>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</si>
  <si>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</si>
  <si>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</si>
  <si>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</si>
  <si>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</si>
  <si>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</si>
  <si>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</si>
  <si>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</si>
  <si>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</si>
  <si>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</si>
  <si>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</si>
  <si>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</si>
  <si>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</si>
  <si>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</si>
  <si>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</si>
  <si>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</si>
  <si>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</si>
  <si>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</si>
  <si>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</si>
  <si>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</si>
  <si>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</si>
  <si>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</si>
  <si>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</si>
  <si>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</si>
  <si>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</si>
  <si>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</si>
  <si>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</si>
  <si>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</si>
  <si>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</si>
  <si>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</si>
  <si>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</si>
  <si>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</si>
  <si>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</si>
  <si>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</si>
  <si>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</si>
  <si>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</si>
  <si>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</si>
  <si>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</si>
  <si>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</si>
  <si>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</si>
  <si>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</si>
  <si>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</si>
  <si>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</si>
  <si>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</si>
  <si>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</si>
  <si>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</si>
  <si>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</si>
  <si>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</si>
  <si>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</si>
  <si>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</si>
  <si>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</si>
  <si>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</si>
  <si>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</si>
  <si>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</si>
  <si>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</si>
  <si>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</si>
  <si>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</si>
  <si>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</si>
  <si>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</si>
  <si>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</si>
  <si>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</si>
  <si>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</si>
  <si>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</si>
  <si>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</si>
  <si>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</si>
  <si>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</si>
  <si>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</si>
  <si>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</si>
  <si>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</si>
  <si>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</si>
  <si>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</si>
  <si>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</si>
  <si>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</si>
  <si>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</si>
  <si>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</si>
  <si>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</si>
  <si>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</si>
  <si>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</si>
  <si>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</si>
  <si>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</si>
  <si>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</si>
  <si>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</si>
  <si>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</si>
  <si>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</si>
  <si>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</si>
  <si>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</si>
  <si>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</si>
  <si>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</si>
  <si>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</si>
  <si>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</si>
  <si>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</si>
  <si>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</si>
  <si>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</si>
  <si>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</si>
  <si>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</si>
  <si>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</si>
  <si>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</si>
  <si>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</si>
  <si>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</si>
  <si>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</si>
  <si>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</si>
  <si>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</si>
  <si>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</si>
  <si>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</si>
  <si>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</si>
  <si>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</si>
  <si>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</si>
  <si>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</si>
  <si>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</si>
  <si>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</si>
  <si>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</si>
  <si>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</si>
  <si>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</si>
  <si>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</si>
  <si>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</si>
  <si>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</si>
  <si>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</si>
  <si>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</si>
  <si>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</si>
  <si>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</si>
  <si>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</si>
  <si>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</si>
  <si>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</si>
  <si>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</si>
  <si>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</si>
  <si>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</si>
  <si>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</si>
  <si>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</si>
  <si>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</si>
  <si>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</si>
  <si>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</si>
  <si>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</si>
  <si>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</si>
  <si>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</si>
  <si>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</si>
  <si>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</si>
  <si>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</si>
  <si>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</si>
  <si>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</si>
  <si>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</si>
  <si>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</si>
  <si>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</si>
  <si>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</si>
  <si>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</si>
  <si>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</si>
  <si>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</si>
  <si>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</si>
  <si>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</si>
  <si>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</si>
  <si>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</si>
  <si>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</si>
  <si>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</si>
  <si>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</si>
  <si>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</si>
  <si>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</si>
  <si>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</si>
  <si>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</si>
  <si>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</si>
  <si>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</si>
  <si>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</si>
  <si>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</si>
  <si>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</si>
  <si>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</si>
  <si>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</si>
  <si>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</si>
  <si>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</si>
  <si>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</si>
  <si>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</si>
  <si>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</si>
  <si>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</si>
  <si>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</si>
  <si>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</si>
  <si>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</si>
  <si>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</si>
  <si>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</si>
  <si>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</si>
  <si>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</si>
  <si>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ACT_BND~LO~2040</t>
  </si>
  <si>
    <t>ACT_BND~LO~2045</t>
  </si>
  <si>
    <t>ACT_BND~LO~2050</t>
  </si>
  <si>
    <t>Min distribuzione LV (ACT_BND~LO~2040)</t>
  </si>
  <si>
    <t>Min distribuzione LV (ACT_BND~LO~2045)</t>
  </si>
  <si>
    <t>Min distribuzione LV (ACT_BND~LO~2050)</t>
  </si>
  <si>
    <t>NCAP_BND~LO~2040</t>
  </si>
  <si>
    <t>NCAP_BND~LO~2045</t>
  </si>
  <si>
    <t>NCAP_BND~LO~2050</t>
  </si>
  <si>
    <t>Capacità minima T&amp;D 1 GW (NCAP_BND~LO~2040)</t>
  </si>
  <si>
    <t>Capacità minima T&amp;D 1 GW (NCAP_BND~LO~2045)</t>
  </si>
  <si>
    <t>Capacità minima T&amp;D 1 GW (NCAP_BND~LO~2050)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</si>
</sst>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7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34" fillId="8" borderId="0" xfId="0" applyFont="1" applyFill="1"/>
    <xf numFmtId="164" fontId="34" fillId="8" borderId="0" xfId="0" applyNumberFormat="1" applyFont="1" applyFill="1"/>
    <xf numFmtId="0" fontId="34" fillId="7" borderId="0" xfId="0" applyFont="1" applyFill="1"/>
    <xf numFmtId="164" fontId="34" fillId="7" borderId="0" xfId="0" applyNumberFormat="1" applyFont="1" applyFill="1"/>
    <xf numFmtId="0" fontId="4" fillId="5" borderId="4" xfId="0" applyFont="1" applyFill="1" applyBorder="1"/>
    <xf numFmtId="0" fontId="18" fillId="5" borderId="4" xfId="4" applyFont="1" applyFill="1" applyBorder="1" applyAlignment="1">
      <alignment horizontal="left"/>
    </xf>
    <xf numFmtId="2" fontId="18" fillId="5" borderId="4" xfId="0" applyNumberFormat="1" applyFont="1" applyFill="1" applyBorder="1" applyAlignment="1">
      <alignment horizontal="right"/>
    </xf>
    <xf numFmtId="2" fontId="37" fillId="5" borderId="4" xfId="0" applyNumberFormat="1" applyFont="1" applyFill="1" applyBorder="1" applyAlignment="1">
      <alignment horizontal="right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4" xfId="1" applyNumberFormat="1" applyFill="1" applyBorder="1" applyAlignment="1">
      <alignment horizontal="center" vertical="center" wrapText="1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17" t="s">
        <v>183</v>
      </c>
      <c r="C6" s="220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8"/>
      <c r="C7" s="221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19"/>
      <c r="C8" s="222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15" t="s">
        <v>213</v>
      </c>
      <c r="C27" s="213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16"/>
      <c r="C28" s="214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5" t="s">
        <v>12</v>
      </c>
      <c r="C41" s="213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16"/>
      <c r="C42" s="214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23" t="s">
        <v>48</v>
      </c>
      <c r="C47" s="223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24" t="s">
        <v>82</v>
      </c>
      <c r="C31" s="224"/>
      <c r="D31" s="224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25" t="s">
        <v>300</v>
      </c>
      <c r="J4" s="225"/>
      <c r="K4" s="225"/>
      <c r="L4" s="225"/>
      <c r="M4" s="225"/>
      <c r="N4" s="225"/>
      <c r="O4" s="225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5" t="s">
        <v>116</v>
      </c>
      <c r="I6" s="225"/>
      <c r="J6" s="225"/>
      <c r="K6" s="225"/>
      <c r="L6" s="225"/>
      <c r="M6" s="225"/>
      <c r="N6" s="225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tabSelected="1" zoomScale="76" zoomScaleNormal="85" workbookViewId="0">
      <selection activeCell="O65" sqref="O65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5" t="s">
        <v>116</v>
      </c>
      <c r="I6" s="225"/>
      <c r="J6" s="225"/>
      <c r="K6" s="225"/>
      <c r="L6" s="225"/>
      <c r="M6" s="225"/>
      <c r="N6" s="225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</v>
      </c>
      <c r="K7" s="139">
        <v>0</v>
      </c>
      <c r="L7" s="139">
        <v>0</v>
      </c>
      <c r="M7" s="139">
        <v>0</v>
      </c>
      <c r="N7" s="139">
        <v>0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0.24</v>
      </c>
      <c r="I8" s="47">
        <v>0.24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7.0000000000000007E-2</v>
      </c>
      <c r="I9" s="139">
        <v>7.0000000000000007E-2</v>
      </c>
      <c r="J9" s="139">
        <v>0</v>
      </c>
      <c r="K9" s="139">
        <v>0</v>
      </c>
      <c r="L9" s="139">
        <v>0</v>
      </c>
      <c r="M9" s="139">
        <v>0</v>
      </c>
      <c r="N9" s="139">
        <v>0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0.2</v>
      </c>
      <c r="I10" s="146">
        <v>0.2</v>
      </c>
      <c r="J10" s="146">
        <v>0</v>
      </c>
      <c r="K10" s="146">
        <v>0</v>
      </c>
      <c r="L10" s="146">
        <v>0</v>
      </c>
      <c r="M10" s="146">
        <v>0</v>
      </c>
      <c r="N10" s="146">
        <v>0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1.17</v>
      </c>
      <c r="I12" s="47">
        <f>H12+0.049</f>
        <v>1.2189999999999999</v>
      </c>
      <c r="J12" s="47">
        <v>1.7190000000000001</v>
      </c>
      <c r="K12" s="47">
        <v>1.7190000000000001</v>
      </c>
      <c r="L12" s="47">
        <v>1.2190000000000001</v>
      </c>
      <c r="M12" s="47">
        <v>1</v>
      </c>
      <c r="N12" s="47">
        <v>1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7.1999999999999995E-2</v>
      </c>
      <c r="I13" s="131">
        <v>0.08</v>
      </c>
      <c r="J13" s="131">
        <v>0.28000000000000003</v>
      </c>
      <c r="K13" s="131">
        <v>0.28000000000000003</v>
      </c>
      <c r="L13" s="131">
        <v>0.28000000000000003</v>
      </c>
      <c r="M13" s="131">
        <v>0.28000000000000003</v>
      </c>
      <c r="N13" s="131">
        <v>0.28000000000000003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0.36299999999999999</v>
      </c>
      <c r="K14" s="47">
        <v>0.36299999999999999</v>
      </c>
      <c r="L14" s="47">
        <v>0.36299999999999999</v>
      </c>
      <c r="M14" s="47">
        <v>0.36299999999999999</v>
      </c>
      <c r="N14" s="47">
        <v>0.36299999999999999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0.8</v>
      </c>
      <c r="I15" s="84">
        <v>0.8</v>
      </c>
      <c r="J15" s="84">
        <v>0.8</v>
      </c>
      <c r="K15" s="84">
        <v>1</v>
      </c>
      <c r="L15" s="84">
        <v>1</v>
      </c>
      <c r="M15" s="84">
        <v>1</v>
      </c>
      <c r="N15" s="84">
        <v>1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28"/>
  <sheetViews>
    <sheetView topLeftCell="L1" zoomScale="90" zoomScaleNormal="110" workbookViewId="0">
      <selection activeCell="O38" sqref="O38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x14ac:dyDescent="0.25">
      <c r="B2" s="102" t="s">
        <v>125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100</v>
      </c>
      <c r="F4" s="36"/>
      <c r="G4" s="36"/>
      <c r="H4" s="36"/>
      <c r="I4" s="34"/>
      <c r="J4" s="34"/>
    </row>
    <row r="5" spans="2:24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132</v>
      </c>
      <c r="Q5" s="106" t="s">
        <v>133</v>
      </c>
      <c r="R5" s="106" t="s">
        <v>369</v>
      </c>
      <c r="S5" s="106" t="s">
        <v>370</v>
      </c>
      <c r="T5" s="106" t="s">
        <v>371</v>
      </c>
      <c r="U5" s="106" t="s">
        <v>375</v>
      </c>
      <c r="V5" s="106" t="s">
        <v>376</v>
      </c>
      <c r="W5" s="106" t="s">
        <v>377</v>
      </c>
      <c r="X5" s="106" t="s">
        <v>205</v>
      </c>
    </row>
    <row r="6" spans="2:24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  <c r="Q6" s="118"/>
      <c r="R6" s="118" t="s">
        <v>372</v>
      </c>
      <c r="S6" s="118" t="s">
        <v>373</v>
      </c>
      <c r="T6" s="118" t="s">
        <v>374</v>
      </c>
      <c r="U6" s="118" t="s">
        <v>378</v>
      </c>
      <c r="V6" s="118" t="s">
        <v>379</v>
      </c>
      <c r="W6" s="118" t="s">
        <v>380</v>
      </c>
    </row>
    <row r="7" spans="2:24" ht="18.95" customHeight="1" x14ac:dyDescent="0.2">
      <c r="B7" s="205" t="str">
        <f>SEC_Processes!D24</f>
        <v>TRANSF_HV-MV</v>
      </c>
      <c r="C7" s="205" t="str">
        <f>SEC_Processes!E24</f>
        <v>Electricity Transformation and Distribution High Voltage to Medium Voltage</v>
      </c>
      <c r="D7" s="205" t="str">
        <f>SEC_Comm!C7</f>
        <v>ELEC_HV</v>
      </c>
      <c r="E7" s="205" t="str">
        <f>SEC_Comm!C10</f>
        <v>ELEC_MV_GRID</v>
      </c>
      <c r="F7" s="206">
        <v>0.94</v>
      </c>
      <c r="G7">
        <v>5.5</v>
      </c>
      <c r="H7">
        <v>1</v>
      </c>
      <c r="I7">
        <v>31.536000000000001</v>
      </c>
      <c r="J7">
        <v>0</v>
      </c>
      <c r="K7">
        <v>50</v>
      </c>
      <c r="L7">
        <v>50</v>
      </c>
      <c r="M7">
        <v>0</v>
      </c>
      <c r="N7">
        <v>0</v>
      </c>
      <c r="O7">
        <v>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7" t="str">
        <f>SEC_Processes!D25</f>
        <v>TRANSF_MV-LV</v>
      </c>
      <c r="C8" s="207" t="str">
        <f>SEC_Processes!E25</f>
        <v>Electricity Transformation and Distribution Medium Voltage to Low Voltage</v>
      </c>
      <c r="D8" s="207" t="str">
        <f>SEC_Comm!C10</f>
        <v>ELEC_MV_GRID</v>
      </c>
      <c r="E8" s="62"/>
      <c r="F8" s="208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62">
        <v>80</v>
      </c>
      <c r="L8" s="62">
        <v>70</v>
      </c>
      <c r="M8" s="62">
        <v>0</v>
      </c>
      <c r="N8" s="62">
        <v>0</v>
      </c>
      <c r="O8" s="62">
        <v>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7"/>
      <c r="C9" s="207"/>
      <c r="D9" s="207"/>
      <c r="E9" s="207" t="str">
        <f>SEC_Comm!C11</f>
        <v>ELEC_LV_GRID</v>
      </c>
      <c r="F9" s="208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</row>
    <row r="10" spans="2:24" ht="18.95" customHeight="1" x14ac:dyDescent="0.2">
      <c r="B10" s="205" t="str">
        <f>SEC_Processes!D26</f>
        <v>DISTRIBU_LV</v>
      </c>
      <c r="C10" s="205" t="str">
        <f>SEC_Processes!E26</f>
        <v>Electricity distribution to Low Voltage</v>
      </c>
      <c r="D10" t="s">
        <v>306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>
        <v>150</v>
      </c>
      <c r="L10">
        <v>150</v>
      </c>
      <c r="M10">
        <v>0</v>
      </c>
      <c r="N10">
        <v>0</v>
      </c>
      <c r="O10">
        <v>0</v>
      </c>
      <c r="P10">
        <v>1</v>
      </c>
      <c r="Q10">
        <v>1</v>
      </c>
      <c r="R10">
        <v>5</v>
      </c>
      <c r="S10">
        <v>4.2</v>
      </c>
      <c r="T10">
        <v>3.7</v>
      </c>
      <c r="U10">
        <v>1</v>
      </c>
      <c r="V10">
        <v>1</v>
      </c>
      <c r="W10">
        <v>1</v>
      </c>
    </row>
    <row r="11" spans="2:24" ht="18.95" customHeight="1" x14ac:dyDescent="0.2">
      <c r="B11" s="207"/>
      <c r="C11" s="207"/>
      <c r="D11" s="207"/>
      <c r="E11" s="207" t="s">
        <v>290</v>
      </c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</row>
    <row r="12" spans="2:24" x14ac:dyDescent="0.2">
      <c r="E12" s="23"/>
      <c r="F12" s="23"/>
      <c r="G12" s="23"/>
      <c r="H12" s="23"/>
    </row>
    <row r="16" spans="2:24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B7" sqref="B7:G7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26" t="s">
        <v>130</v>
      </c>
      <c r="E6" s="226"/>
      <c r="F6" s="226"/>
      <c r="G6" s="226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D99FA-8D61-47C1-BBA6-824A0E7DE546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352</v>
      </c>
    </row>
    <row r="4" spans="2:15" x14ac:dyDescent="0.2">
      <c r="B4" s="36" t="s">
        <v>353</v>
      </c>
    </row>
    <row r="5" spans="2:15" x14ac:dyDescent="0.2">
      <c r="B5" s="106" t="s">
        <v>354</v>
      </c>
      <c r="C5" s="106" t="s">
        <v>25</v>
      </c>
      <c r="D5" s="106" t="s">
        <v>355</v>
      </c>
      <c r="E5" s="106" t="s">
        <v>163</v>
      </c>
      <c r="F5" s="106" t="s">
        <v>356</v>
      </c>
      <c r="G5" s="106" t="s">
        <v>357</v>
      </c>
      <c r="H5" s="106" t="s">
        <v>358</v>
      </c>
      <c r="I5" s="106" t="s">
        <v>359</v>
      </c>
      <c r="J5" s="106" t="s">
        <v>360</v>
      </c>
      <c r="K5" s="106" t="s">
        <v>361</v>
      </c>
      <c r="L5" s="106" t="s">
        <v>362</v>
      </c>
      <c r="M5" s="106" t="s">
        <v>363</v>
      </c>
      <c r="N5" s="106" t="s">
        <v>364</v>
      </c>
      <c r="O5" s="106" t="s">
        <v>365</v>
      </c>
    </row>
    <row r="6" spans="2:15" x14ac:dyDescent="0.2">
      <c r="B6" s="209"/>
      <c r="C6" s="210" t="s">
        <v>366</v>
      </c>
      <c r="D6" s="211" t="s">
        <v>367</v>
      </c>
      <c r="E6" s="212"/>
      <c r="F6" s="212">
        <v>2</v>
      </c>
      <c r="G6" s="212"/>
      <c r="H6" s="209"/>
      <c r="I6" s="210" t="s">
        <v>368</v>
      </c>
      <c r="J6" s="211"/>
      <c r="K6" s="212"/>
      <c r="L6" s="212"/>
      <c r="M6" s="212"/>
      <c r="N6" s="209"/>
      <c r="O6" s="2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2026-05-22T09:55:20Z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