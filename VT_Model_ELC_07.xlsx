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3BC97B19-BF03-48BF-B6C2-1769139AF23F}" xr6:coauthVersionLast="47" xr6:coauthVersionMax="47" xr10:uidLastSave="{00000000-0000-0000-0000-000000000000}"/>
  <bookViews>
    <workbookView xWindow="5310" yWindow="1200" windowWidth="22905" windowHeight="15345" tabRatio="901" activeTab="6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  <sheet name="IMPNRGZ_BND" sheetId="146" r:id="rId13"/>
  </sheets>
  <externalReferences>
    <externalReference r:id="rId14"/>
  </externalReferences>
  <definedNames>
    <definedName name="_Order1">0</definedName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X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<sst xmlns="http://schemas.openxmlformats.org/spreadsheetml/2006/main" count="901" uniqueCount="381">
  <si>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</si>
  <si>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</si>
  <si>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</si>
  <si>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</si>
  <si>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</si>
  <si>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</si>
  <si>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</si>
  <si>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</si>
  <si>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</si>
  <si>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</si>
  <si>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</si>
  <si>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</si>
  <si>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</si>
  <si>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</si>
  <si>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</si>
  <si>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</si>
  <si>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</si>
  <si>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</si>
  <si>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</si>
  <si>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</si>
  <si>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</si>
  <si>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</si>
  <si>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</si>
  <si>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</si>
  <si>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</si>
  <si>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</si>
  <si>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</si>
  <si>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</si>
  <si>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</si>
  <si>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</si>
  <si>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</si>
  <si>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</si>
  <si>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</si>
  <si>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</si>
  <si>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</si>
  <si>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</si>
  <si>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</si>
  <si>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</si>
  <si>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</si>
  <si>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</si>
  <si>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</si>
  <si>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</si>
  <si>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</si>
  <si>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</si>
  <si>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</si>
  <si>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</si>
  <si>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</si>
  <si>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</si>
  <si>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</si>
  <si>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</si>
  <si>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</si>
  <si>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</si>
  <si>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</si>
  <si>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</si>
  <si>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</si>
  <si>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</si>
  <si>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</si>
  <si>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</si>
  <si>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</si>
  <si>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</si>
  <si>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</si>
  <si>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</si>
  <si>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</si>
  <si>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</si>
  <si>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</si>
  <si>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</si>
  <si>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</si>
  <si>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</si>
  <si>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</si>
  <si>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</si>
  <si>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</si>
  <si>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</si>
  <si>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</si>
  <si>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</si>
  <si>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</si>
  <si>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</si>
  <si>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</si>
  <si>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</si>
  <si>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</si>
  <si>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</si>
  <si>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</si>
  <si>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</si>
  <si>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</si>
  <si>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</si>
  <si>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</si>
  <si>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</si>
  <si>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</si>
  <si>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</si>
  <si>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</si>
  <si>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</si>
  <si>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</si>
  <si>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</si>
  <si>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</si>
  <si>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</si>
  <si>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</si>
  <si>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</si>
  <si>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</si>
  <si>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</si>
  <si>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</si>
  <si>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</si>
  <si>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</si>
  <si>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</si>
  <si>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</si>
  <si>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</si>
  <si>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</si>
  <si>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</si>
  <si>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</si>
  <si>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</si>
  <si>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</si>
  <si>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</si>
  <si>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</si>
  <si>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</si>
  <si>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</si>
  <si>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</si>
  <si>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</si>
  <si>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</si>
  <si>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</si>
  <si>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</si>
  <si>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</si>
  <si>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</si>
  <si>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</si>
  <si>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</si>
  <si>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</si>
  <si>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</si>
  <si>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</si>
  <si>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</si>
  <si>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</si>
  <si>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</si>
  <si>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</si>
  <si>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</si>
  <si>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</si>
  <si>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</si>
  <si>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</si>
  <si>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</si>
  <si>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</si>
  <si>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</si>
  <si>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</si>
  <si>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</si>
  <si>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</si>
  <si>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</si>
  <si>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</si>
  <si>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</si>
  <si>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</si>
  <si>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</si>
  <si>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</si>
  <si>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</si>
  <si>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</si>
  <si>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</si>
  <si>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</si>
  <si>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</si>
  <si>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</si>
  <si>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</si>
  <si>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</si>
  <si>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</si>
  <si>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</si>
  <si>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</si>
  <si>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</si>
  <si>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</si>
  <si>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</si>
  <si>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</si>
  <si>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</si>
  <si>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</si>
  <si>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</si>
  <si>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</si>
  <si>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</si>
  <si>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</si>
  <si>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</si>
  <si>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</si>
  <si>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</si>
  <si>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</si>
  <si>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</si>
  <si>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</si>
  <si>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</si>
  <si>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</si>
  <si>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</si>
  <si>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</si>
  <si>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</si>
  <si>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</si>
  <si>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</si>
  <si>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</si>
  <si>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</si>
  <si>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</si>
  <si>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</si>
  <si>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</si>
  <si>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</si>
  <si>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</si>
  <si>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</si>
  <si>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</si>
  <si>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</si>
  <si>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</si>
  <si>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</si>
  <si>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</si>
  <si>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</si>
  <si>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</si>
  <si>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</si>
  <si>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</si>
  <si>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</si>
  <si>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</si>
  <si>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</si>
  <si>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</si>
  <si>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</si>
  <si>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</si>
  <si>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</si>
  <si>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</si>
  <si>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</si>
  <si>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</si>
  <si>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</si>
  <si>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</si>
  <si>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</si>
  <si>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</si>
  <si>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</si>
  <si>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</si>
  <si>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</si>
  <si>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</si>
  <si>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</si>
  <si>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</si>
  <si>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</si>
  <si>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</si>
  <si>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</si>
  <si>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</si>
  <si>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</si>
  <si>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</si>
  <si>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</si>
  <si>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</si>
  <si>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</si>
  <si>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</si>
  <si>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</si>
  <si>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</si>
  <si>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</si>
  <si>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</si>
  <si>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</si>
  <si>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</si>
  <si>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</si>
  <si>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</si>
  <si>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</si>
  <si>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</si>
  <si>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</si>
  <si>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</si>
  <si>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</si>
  <si>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</si>
  <si>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</si>
  <si>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</si>
  <si>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</si>
  <si>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</si>
  <si>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</si>
  <si>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</si>
  <si>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</si>
  <si>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</si>
  <si>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</si>
  <si>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</si>
  <si>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</si>
  <si>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</si>
  <si>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</si>
  <si>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</si>
  <si>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</si>
  <si>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</si>
  <si>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</si>
  <si>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</si>
  <si>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</si>
  <si>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</si>
  <si>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</si>
  <si>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</si>
  <si>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</si>
  <si>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</si>
  <si>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</si>
  <si>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</si>
  <si>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</si>
  <si>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</si>
  <si>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</si>
  <si>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</si>
  <si>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</si>
  <si>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</si>
  <si>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</si>
  <si>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</si>
  <si>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</si>
  <si>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</si>
  <si>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</si>
  <si>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</si>
  <si>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</si>
  <si>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</si>
  <si>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</si>
  <si>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</si>
  <si>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</si>
  <si>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</si>
  <si>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</si>
  <si>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</si>
  <si>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</si>
  <si>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</si>
  <si>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</si>
  <si>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</si>
  <si>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</si>
  <si>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</si>
  <si>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</si>
  <si>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</si>
  <si>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</si>
  <si>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</si>
  <si>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</si>
  <si>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</si>
  <si>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</si>
  <si>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</si>
  <si>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</si>
  <si>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</si>
  <si>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</si>
  <si>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</si>
  <si>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</si>
  <si>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</si>
  <si>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</si>
  <si>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</si>
  <si>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</si>
  <si>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</si>
  <si>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</si>
  <si>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</si>
  <si>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</si>
  <si>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</si>
  <si>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</si>
  <si>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</si>
  <si>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</si>
  <si>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</si>
  <si>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</si>
  <si>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</si>
  <si>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</si>
  <si>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</si>
  <si>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</si>
  <si>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</si>
  <si>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</si>
  <si>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</si>
  <si>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</si>
  <si>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</si>
  <si>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</si>
  <si>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</si>
  <si>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</si>
  <si>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</si>
  <si>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</si>
  <si>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</si>
  <si>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</si>
  <si>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</si>
  <si>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</si>
  <si>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</si>
  <si>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</si>
  <si>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</si>
  <si>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</si>
  <si>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</si>
  <si>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</si>
  <si>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</si>
  <si>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</si>
  <si>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</si>
  <si>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</si>
  <si>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</si>
  <si>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</si>
  <si>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</si>
  <si>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</si>
  <si>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</si>
  <si>
    <t>Limite attività IMPNRGZ - forza uso catena T&amp;D reale</t>
  </si>
  <si>
    <t>~TFM_UPD</t>
  </si>
  <si>
    <t>TimeSlice</t>
  </si>
  <si>
    <t>Attribute</t>
  </si>
  <si>
    <t>AllRegions</t>
  </si>
  <si>
    <t>PL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</si>
  <si>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</si>
  <si>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</si>
  <si>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</si>
  <si>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</si>
  <si>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</si>
  <si>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</si>
  <si>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</si>
  <si>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</si>
  <si>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UP</t>
  </si>
  <si>
    <t>ACT_BND</t>
  </si>
  <si>
    <t>IMPNRGZ</t>
  </si>
  <si>
    <t>ACT_BND~LO~2040</t>
  </si>
  <si>
    <t>ACT_BND~LO~2045</t>
  </si>
  <si>
    <t>ACT_BND~LO~2050</t>
  </si>
  <si>
    <t>Min distribuzione LV (ACT_BND~LO~2040)</t>
  </si>
  <si>
    <t>Min distribuzione LV (ACT_BND~LO~2045)</t>
  </si>
  <si>
    <t>Min distribuzione LV (ACT_BND~LO~2050)</t>
  </si>
  <si>
    <t>NCAP_BND~LO~2040</t>
  </si>
  <si>
    <t>NCAP_BND~LO~2045</t>
  </si>
  <si>
    <t>NCAP_BND~LO~2050</t>
  </si>
  <si>
    <t>Capacità minima T&amp;D 1 GW (NCAP_BND~LO~2040)</t>
  </si>
  <si>
    <t>Capacità minima T&amp;D 1 GW (NCAP_BND~LO~2045)</t>
  </si>
  <si>
    <t>Capacità minima T&amp;D 1 GW (NCAP_BND~LO~2050)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</si>
</sst>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27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4" fillId="7" borderId="31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1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0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0" fontId="34" fillId="8" borderId="0" xfId="0" applyFont="1" applyFill="1"/>
    <xf numFmtId="164" fontId="34" fillId="8" borderId="0" xfId="0" applyNumberFormat="1" applyFont="1" applyFill="1"/>
    <xf numFmtId="0" fontId="34" fillId="7" borderId="0" xfId="0" applyFont="1" applyFill="1"/>
    <xf numFmtId="164" fontId="34" fillId="7" borderId="0" xfId="0" applyNumberFormat="1" applyFont="1" applyFill="1"/>
    <xf numFmtId="0" fontId="4" fillId="5" borderId="4" xfId="0" applyFont="1" applyFill="1" applyBorder="1"/>
    <xf numFmtId="0" fontId="18" fillId="5" borderId="4" xfId="4" applyFont="1" applyFill="1" applyBorder="1" applyAlignment="1">
      <alignment horizontal="left"/>
    </xf>
    <xf numFmtId="2" fontId="18" fillId="5" borderId="4" xfId="0" applyNumberFormat="1" applyFont="1" applyFill="1" applyBorder="1" applyAlignment="1">
      <alignment horizontal="right"/>
    </xf>
    <xf numFmtId="2" fontId="37" fillId="5" borderId="4" xfId="0" applyNumberFormat="1" applyFont="1" applyFill="1" applyBorder="1" applyAlignment="1">
      <alignment horizontal="right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27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18" t="s">
        <v>183</v>
      </c>
      <c r="C6" s="221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19"/>
      <c r="C7" s="222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20"/>
      <c r="C8" s="223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16" t="s">
        <v>213</v>
      </c>
      <c r="C27" s="214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17"/>
      <c r="C28" s="215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4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4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6" t="s">
        <v>12</v>
      </c>
      <c r="C41" s="214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17"/>
      <c r="C42" s="215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76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19" t="s">
        <v>36</v>
      </c>
      <c r="C7" s="119" t="s">
        <v>153</v>
      </c>
      <c r="D7" s="119" t="s">
        <v>37</v>
      </c>
      <c r="E7" s="119" t="s">
        <v>38</v>
      </c>
      <c r="F7" s="119"/>
      <c r="G7" s="119" t="s">
        <v>39</v>
      </c>
      <c r="H7" s="119" t="s">
        <v>40</v>
      </c>
      <c r="I7" s="119" t="s">
        <v>41</v>
      </c>
    </row>
    <row r="8" spans="2:9" ht="18.75" customHeight="1" x14ac:dyDescent="0.2">
      <c r="B8" s="126" t="s">
        <v>36</v>
      </c>
      <c r="C8" s="126" t="s">
        <v>275</v>
      </c>
      <c r="D8" s="126" t="s">
        <v>276</v>
      </c>
      <c r="E8" s="126" t="s">
        <v>38</v>
      </c>
      <c r="F8" s="126"/>
      <c r="G8" s="126" t="s">
        <v>39</v>
      </c>
      <c r="H8" s="126" t="s">
        <v>40</v>
      </c>
      <c r="I8" s="126" t="s">
        <v>41</v>
      </c>
    </row>
    <row r="9" spans="2:9" ht="18.75" customHeight="1" x14ac:dyDescent="0.2">
      <c r="B9" s="128" t="s">
        <v>36</v>
      </c>
      <c r="C9" s="128" t="s">
        <v>154</v>
      </c>
      <c r="D9" s="128" t="s">
        <v>42</v>
      </c>
      <c r="E9" s="128" t="s">
        <v>38</v>
      </c>
      <c r="F9" s="128"/>
      <c r="G9" s="128" t="s">
        <v>39</v>
      </c>
      <c r="H9" s="128"/>
      <c r="I9" s="128" t="s">
        <v>41</v>
      </c>
    </row>
    <row r="10" spans="2:9" ht="18.75" customHeight="1" x14ac:dyDescent="0.2">
      <c r="B10" s="126" t="s">
        <v>36</v>
      </c>
      <c r="C10" s="126" t="s">
        <v>308</v>
      </c>
      <c r="D10" s="126" t="s">
        <v>322</v>
      </c>
      <c r="E10" s="126" t="s">
        <v>38</v>
      </c>
      <c r="F10" s="126"/>
      <c r="G10" s="126" t="s">
        <v>39</v>
      </c>
      <c r="H10" s="126"/>
      <c r="I10" s="126" t="s">
        <v>41</v>
      </c>
    </row>
    <row r="11" spans="2:9" ht="18.75" customHeight="1" x14ac:dyDescent="0.2">
      <c r="B11" s="128" t="s">
        <v>36</v>
      </c>
      <c r="C11" s="128" t="s">
        <v>306</v>
      </c>
      <c r="D11" s="128" t="s">
        <v>307</v>
      </c>
      <c r="E11" s="128" t="s">
        <v>38</v>
      </c>
      <c r="F11" s="128"/>
      <c r="G11" s="128" t="s">
        <v>39</v>
      </c>
      <c r="H11" s="128"/>
      <c r="I11" s="128" t="s">
        <v>41</v>
      </c>
    </row>
    <row r="12" spans="2:9" ht="18.75" customHeight="1" x14ac:dyDescent="0.2">
      <c r="B12" s="126" t="s">
        <v>36</v>
      </c>
      <c r="C12" s="126" t="s">
        <v>290</v>
      </c>
      <c r="D12" s="126" t="s">
        <v>291</v>
      </c>
      <c r="E12" s="126" t="s">
        <v>38</v>
      </c>
      <c r="F12" s="126"/>
      <c r="G12" s="126" t="s">
        <v>39</v>
      </c>
      <c r="H12" s="126"/>
      <c r="I12" s="126" t="s">
        <v>41</v>
      </c>
    </row>
    <row r="13" spans="2:9" ht="18.75" customHeight="1" x14ac:dyDescent="0.2">
      <c r="B13" s="187" t="s">
        <v>44</v>
      </c>
      <c r="C13" s="187" t="s">
        <v>45</v>
      </c>
      <c r="D13" s="187" t="s">
        <v>46</v>
      </c>
      <c r="E13" s="187" t="s">
        <v>47</v>
      </c>
      <c r="F13" s="187"/>
      <c r="G13" s="187"/>
      <c r="H13" s="187" t="s">
        <v>40</v>
      </c>
      <c r="I13" s="187"/>
    </row>
    <row r="14" spans="2:9" ht="18.75" customHeight="1" x14ac:dyDescent="0.2">
      <c r="B14" s="126" t="s">
        <v>239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185" t="s">
        <v>36</v>
      </c>
      <c r="C25" s="42" t="s">
        <v>297</v>
      </c>
      <c r="D25" s="185" t="s">
        <v>312</v>
      </c>
      <c r="E25" s="186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185" t="s">
        <v>36</v>
      </c>
      <c r="C27" s="42" t="s">
        <v>302</v>
      </c>
      <c r="D27" s="185" t="s">
        <v>333</v>
      </c>
      <c r="E27" s="186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185" t="s">
        <v>36</v>
      </c>
      <c r="C29" s="42" t="s">
        <v>325</v>
      </c>
      <c r="D29" s="42" t="s">
        <v>334</v>
      </c>
      <c r="E29" s="186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185" t="s">
        <v>36</v>
      </c>
      <c r="C31" s="42" t="s">
        <v>315</v>
      </c>
      <c r="D31" s="42" t="s">
        <v>315</v>
      </c>
      <c r="E31" s="186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185" t="s">
        <v>36</v>
      </c>
      <c r="C33" s="42" t="s">
        <v>328</v>
      </c>
      <c r="D33" s="185" t="s">
        <v>336</v>
      </c>
      <c r="E33" s="186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185" t="s">
        <v>36</v>
      </c>
      <c r="C35" s="42" t="s">
        <v>178</v>
      </c>
      <c r="D35" s="185" t="s">
        <v>179</v>
      </c>
      <c r="E35" s="186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3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3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196" t="s">
        <v>36</v>
      </c>
      <c r="C43" s="197" t="s">
        <v>223</v>
      </c>
      <c r="D43" s="196" t="s">
        <v>223</v>
      </c>
      <c r="E43" s="198" t="s">
        <v>38</v>
      </c>
      <c r="F43" s="199"/>
      <c r="G43" s="199"/>
      <c r="H43" s="199"/>
      <c r="I43" s="199"/>
    </row>
    <row r="47" spans="2:9" ht="13.5" thickBot="1" x14ac:dyDescent="0.25">
      <c r="B47" s="224" t="s">
        <v>48</v>
      </c>
      <c r="C47" s="224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00" t="s">
        <v>239</v>
      </c>
      <c r="C7" s="121" t="s">
        <v>193</v>
      </c>
      <c r="D7" s="121" t="s">
        <v>281</v>
      </c>
      <c r="E7" s="121" t="s">
        <v>283</v>
      </c>
      <c r="F7" s="121" t="s">
        <v>38</v>
      </c>
      <c r="G7" s="121" t="s">
        <v>77</v>
      </c>
      <c r="H7" s="121" t="s">
        <v>40</v>
      </c>
      <c r="I7" s="121"/>
      <c r="J7" s="121"/>
    </row>
    <row r="8" spans="1:10" ht="18.75" customHeight="1" x14ac:dyDescent="0.2">
      <c r="B8" s="66" t="s">
        <v>239</v>
      </c>
      <c r="C8" s="127" t="s">
        <v>193</v>
      </c>
      <c r="D8" s="127" t="s">
        <v>280</v>
      </c>
      <c r="E8" s="127" t="s">
        <v>282</v>
      </c>
      <c r="F8" s="127" t="s">
        <v>38</v>
      </c>
      <c r="G8" s="127" t="s">
        <v>77</v>
      </c>
      <c r="H8" s="127" t="s">
        <v>40</v>
      </c>
      <c r="I8" s="127"/>
      <c r="J8" s="127"/>
    </row>
    <row r="9" spans="1:10" ht="18.75" customHeight="1" x14ac:dyDescent="0.2">
      <c r="B9" s="49" t="s">
        <v>239</v>
      </c>
      <c r="C9" s="129" t="s">
        <v>193</v>
      </c>
      <c r="D9" s="129" t="s">
        <v>284</v>
      </c>
      <c r="E9" s="128" t="s">
        <v>287</v>
      </c>
      <c r="F9" s="129" t="s">
        <v>38</v>
      </c>
      <c r="G9" s="129" t="s">
        <v>77</v>
      </c>
      <c r="H9" s="129" t="s">
        <v>40</v>
      </c>
      <c r="I9" s="129"/>
      <c r="J9" s="129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75</v>
      </c>
      <c r="C11" s="122" t="s">
        <v>193</v>
      </c>
      <c r="D11" s="122" t="s">
        <v>155</v>
      </c>
      <c r="E11" s="122" t="s">
        <v>76</v>
      </c>
      <c r="F11" s="122" t="s">
        <v>38</v>
      </c>
      <c r="G11" s="122" t="s">
        <v>77</v>
      </c>
      <c r="H11" s="122" t="s">
        <v>39</v>
      </c>
      <c r="I11" s="122"/>
      <c r="J11" s="122"/>
    </row>
    <row r="12" spans="1:10" ht="18.75" customHeight="1" x14ac:dyDescent="0.2">
      <c r="B12" s="126" t="s">
        <v>75</v>
      </c>
      <c r="C12" s="127" t="s">
        <v>193</v>
      </c>
      <c r="D12" s="127" t="s">
        <v>285</v>
      </c>
      <c r="E12" s="127" t="s">
        <v>286</v>
      </c>
      <c r="F12" s="127" t="s">
        <v>38</v>
      </c>
      <c r="G12" s="127" t="s">
        <v>77</v>
      </c>
      <c r="H12" s="127" t="s">
        <v>39</v>
      </c>
      <c r="I12" s="127"/>
      <c r="J12" s="127"/>
    </row>
    <row r="13" spans="1:10" ht="18.75" customHeight="1" x14ac:dyDescent="0.2">
      <c r="B13" s="120" t="s">
        <v>75</v>
      </c>
      <c r="C13" s="122" t="s">
        <v>193</v>
      </c>
      <c r="D13" s="122" t="s">
        <v>344</v>
      </c>
      <c r="E13" s="122" t="s">
        <v>345</v>
      </c>
      <c r="F13" s="122" t="s">
        <v>38</v>
      </c>
      <c r="G13" s="122" t="s">
        <v>77</v>
      </c>
      <c r="H13" s="122" t="s">
        <v>39</v>
      </c>
      <c r="I13" s="122"/>
      <c r="J13" s="122"/>
    </row>
    <row r="14" spans="1:10" ht="18.75" customHeight="1" x14ac:dyDescent="0.2">
      <c r="B14" s="126" t="s">
        <v>75</v>
      </c>
      <c r="C14" s="127" t="s">
        <v>193</v>
      </c>
      <c r="D14" s="127" t="s">
        <v>156</v>
      </c>
      <c r="E14" s="127" t="s">
        <v>346</v>
      </c>
      <c r="F14" s="127" t="s">
        <v>38</v>
      </c>
      <c r="G14" s="127" t="s">
        <v>77</v>
      </c>
      <c r="H14" s="127" t="s">
        <v>39</v>
      </c>
      <c r="I14" s="127"/>
      <c r="J14" s="127"/>
    </row>
    <row r="15" spans="1:10" ht="18.75" customHeight="1" x14ac:dyDescent="0.2">
      <c r="B15" s="120" t="s">
        <v>75</v>
      </c>
      <c r="C15" s="122" t="s">
        <v>193</v>
      </c>
      <c r="D15" s="122" t="s">
        <v>157</v>
      </c>
      <c r="E15" s="122" t="s">
        <v>78</v>
      </c>
      <c r="F15" s="122" t="s">
        <v>38</v>
      </c>
      <c r="G15" s="122" t="s">
        <v>77</v>
      </c>
      <c r="H15" s="122" t="s">
        <v>39</v>
      </c>
      <c r="I15" s="122"/>
      <c r="J15" s="122"/>
    </row>
    <row r="16" spans="1:10" ht="18.75" customHeight="1" x14ac:dyDescent="0.2">
      <c r="B16" s="126" t="s">
        <v>75</v>
      </c>
      <c r="C16" s="127" t="s">
        <v>193</v>
      </c>
      <c r="D16" s="127" t="s">
        <v>194</v>
      </c>
      <c r="E16" s="127" t="s">
        <v>195</v>
      </c>
      <c r="F16" s="127" t="s">
        <v>38</v>
      </c>
      <c r="G16" s="127" t="s">
        <v>77</v>
      </c>
      <c r="H16" s="127" t="s">
        <v>39</v>
      </c>
      <c r="I16" s="127"/>
      <c r="J16" s="127"/>
    </row>
    <row r="17" spans="1:10" ht="18.75" customHeight="1" x14ac:dyDescent="0.2">
      <c r="B17" s="120" t="s">
        <v>75</v>
      </c>
      <c r="C17" s="122" t="s">
        <v>193</v>
      </c>
      <c r="D17" s="122" t="s">
        <v>196</v>
      </c>
      <c r="E17" s="122" t="s">
        <v>197</v>
      </c>
      <c r="F17" s="122" t="s">
        <v>38</v>
      </c>
      <c r="G17" s="122" t="s">
        <v>77</v>
      </c>
      <c r="H17" s="122" t="s">
        <v>39</v>
      </c>
      <c r="I17" s="122"/>
      <c r="J17" s="122"/>
    </row>
    <row r="18" spans="1:10" ht="18.75" customHeight="1" x14ac:dyDescent="0.2">
      <c r="B18" s="126" t="s">
        <v>75</v>
      </c>
      <c r="C18" s="127" t="s">
        <v>193</v>
      </c>
      <c r="D18" s="127" t="s">
        <v>198</v>
      </c>
      <c r="E18" s="127" t="s">
        <v>199</v>
      </c>
      <c r="F18" s="127" t="s">
        <v>38</v>
      </c>
      <c r="G18" s="127" t="s">
        <v>77</v>
      </c>
      <c r="H18" s="127" t="s">
        <v>39</v>
      </c>
      <c r="I18" s="127"/>
      <c r="J18" s="127"/>
    </row>
    <row r="19" spans="1:10" ht="18.75" customHeight="1" x14ac:dyDescent="0.2">
      <c r="B19" s="128" t="s">
        <v>75</v>
      </c>
      <c r="C19" s="129" t="s">
        <v>193</v>
      </c>
      <c r="D19" s="129" t="s">
        <v>200</v>
      </c>
      <c r="E19" s="129" t="s">
        <v>201</v>
      </c>
      <c r="F19" s="129" t="s">
        <v>38</v>
      </c>
      <c r="G19" s="129" t="s">
        <v>77</v>
      </c>
      <c r="H19" s="129" t="s">
        <v>39</v>
      </c>
      <c r="I19" s="129"/>
      <c r="J19" s="129"/>
    </row>
    <row r="20" spans="1:10" ht="18.75" customHeight="1" x14ac:dyDescent="0.2">
      <c r="B20" s="126" t="s">
        <v>246</v>
      </c>
      <c r="C20" s="127" t="s">
        <v>193</v>
      </c>
      <c r="D20" s="127" t="s">
        <v>260</v>
      </c>
      <c r="E20" s="127" t="s">
        <v>247</v>
      </c>
      <c r="F20" s="127" t="s">
        <v>38</v>
      </c>
      <c r="G20" s="127" t="s">
        <v>77</v>
      </c>
      <c r="H20" s="127" t="s">
        <v>39</v>
      </c>
      <c r="I20" s="127"/>
      <c r="J20" s="127"/>
    </row>
    <row r="21" spans="1:10" ht="18.75" customHeight="1" x14ac:dyDescent="0.2">
      <c r="B21" s="128" t="s">
        <v>75</v>
      </c>
      <c r="C21" s="129" t="s">
        <v>193</v>
      </c>
      <c r="D21" s="129" t="s">
        <v>221</v>
      </c>
      <c r="E21" s="129" t="s">
        <v>222</v>
      </c>
      <c r="F21" s="129" t="s">
        <v>38</v>
      </c>
      <c r="G21" s="129" t="s">
        <v>77</v>
      </c>
      <c r="H21" s="129" t="s">
        <v>39</v>
      </c>
      <c r="I21" s="129"/>
      <c r="J21" s="129"/>
    </row>
    <row r="22" spans="1:10" ht="18.75" customHeight="1" x14ac:dyDescent="0.2">
      <c r="B22" s="126" t="s">
        <v>90</v>
      </c>
      <c r="C22" s="127" t="s">
        <v>193</v>
      </c>
      <c r="D22" s="127" t="s">
        <v>256</v>
      </c>
      <c r="E22" s="127" t="s">
        <v>257</v>
      </c>
      <c r="F22" s="127" t="s">
        <v>38</v>
      </c>
      <c r="G22" s="127" t="s">
        <v>77</v>
      </c>
      <c r="H22" s="127" t="s">
        <v>40</v>
      </c>
      <c r="I22" s="127"/>
      <c r="J22" s="127"/>
    </row>
    <row r="23" spans="1:10" ht="18.75" customHeight="1" x14ac:dyDescent="0.2">
      <c r="B23" s="128" t="s">
        <v>93</v>
      </c>
      <c r="C23" s="129" t="s">
        <v>193</v>
      </c>
      <c r="D23" s="129" t="s">
        <v>261</v>
      </c>
      <c r="E23" s="129" t="s">
        <v>262</v>
      </c>
      <c r="F23" s="129" t="s">
        <v>38</v>
      </c>
      <c r="G23" s="129" t="s">
        <v>77</v>
      </c>
      <c r="H23" s="129" t="s">
        <v>40</v>
      </c>
      <c r="I23" s="129"/>
      <c r="J23" s="129"/>
    </row>
    <row r="24" spans="1:10" ht="18.75" customHeight="1" x14ac:dyDescent="0.2">
      <c r="A24" s="62"/>
      <c r="B24" s="126" t="s">
        <v>81</v>
      </c>
      <c r="C24" s="127" t="s">
        <v>193</v>
      </c>
      <c r="D24" s="127" t="s">
        <v>271</v>
      </c>
      <c r="E24" s="127" t="s">
        <v>272</v>
      </c>
      <c r="F24" s="127" t="s">
        <v>38</v>
      </c>
      <c r="G24" s="127" t="s">
        <v>77</v>
      </c>
      <c r="H24" s="127" t="s">
        <v>39</v>
      </c>
      <c r="I24" s="127"/>
      <c r="J24" s="127"/>
    </row>
    <row r="25" spans="1:10" ht="18.75" customHeight="1" x14ac:dyDescent="0.2">
      <c r="A25" s="62"/>
      <c r="B25" s="128" t="s">
        <v>81</v>
      </c>
      <c r="C25" s="129" t="s">
        <v>193</v>
      </c>
      <c r="D25" s="129" t="s">
        <v>273</v>
      </c>
      <c r="E25" s="129" t="s">
        <v>274</v>
      </c>
      <c r="F25" s="129" t="s">
        <v>38</v>
      </c>
      <c r="G25" s="129" t="s">
        <v>77</v>
      </c>
      <c r="H25" s="129" t="s">
        <v>39</v>
      </c>
      <c r="I25" s="129"/>
      <c r="J25" s="129"/>
    </row>
    <row r="26" spans="1:10" ht="18.75" customHeight="1" x14ac:dyDescent="0.2">
      <c r="A26" s="61"/>
      <c r="B26" s="128" t="s">
        <v>81</v>
      </c>
      <c r="C26" s="129" t="s">
        <v>193</v>
      </c>
      <c r="D26" s="129" t="s">
        <v>289</v>
      </c>
      <c r="E26" s="129" t="s">
        <v>288</v>
      </c>
      <c r="F26" s="129" t="s">
        <v>38</v>
      </c>
      <c r="G26" s="129" t="s">
        <v>77</v>
      </c>
      <c r="H26" s="129" t="s">
        <v>39</v>
      </c>
      <c r="I26" s="129"/>
      <c r="J26" s="129"/>
    </row>
    <row r="27" spans="1:10" ht="18.75" customHeight="1" x14ac:dyDescent="0.2">
      <c r="A27" s="62"/>
      <c r="B27" s="126" t="s">
        <v>81</v>
      </c>
      <c r="C27" s="127" t="s">
        <v>193</v>
      </c>
      <c r="D27" s="127" t="s">
        <v>292</v>
      </c>
      <c r="E27" s="127" t="s">
        <v>293</v>
      </c>
      <c r="F27" s="127" t="s">
        <v>38</v>
      </c>
      <c r="G27" s="127" t="s">
        <v>266</v>
      </c>
      <c r="H27" s="127" t="s">
        <v>40</v>
      </c>
      <c r="I27" s="127"/>
      <c r="J27" s="127"/>
    </row>
    <row r="28" spans="1:10" ht="18.75" customHeight="1" x14ac:dyDescent="0.2">
      <c r="A28" s="62"/>
      <c r="B28" s="128"/>
      <c r="C28" s="129"/>
      <c r="D28" s="129"/>
      <c r="E28" s="129"/>
      <c r="F28" s="129"/>
      <c r="G28" s="129"/>
      <c r="H28" s="129"/>
      <c r="I28" s="129"/>
      <c r="J28" s="129"/>
    </row>
    <row r="29" spans="1:10" ht="18.95" customHeight="1" x14ac:dyDescent="0.2">
      <c r="I29" s="129"/>
      <c r="J29" s="129"/>
    </row>
    <row r="31" spans="1:10" x14ac:dyDescent="0.2">
      <c r="B31" s="225" t="s">
        <v>82</v>
      </c>
      <c r="C31" s="225"/>
      <c r="D31" s="225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13" t="s">
        <v>300</v>
      </c>
      <c r="J4" s="213"/>
      <c r="K4" s="213"/>
      <c r="L4" s="213"/>
      <c r="M4" s="213"/>
      <c r="N4" s="213"/>
      <c r="O4" s="213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3">
        <v>7.3</v>
      </c>
      <c r="R5" s="27">
        <v>13.59</v>
      </c>
    </row>
    <row r="6" spans="2:18" ht="13.5" thickBot="1" x14ac:dyDescent="0.25">
      <c r="B6" s="165"/>
      <c r="C6" s="61"/>
      <c r="D6" s="169"/>
      <c r="E6" s="183" t="s">
        <v>302</v>
      </c>
      <c r="F6" s="167">
        <f t="shared" ref="F6:F14" si="1">V36</f>
        <v>1.86</v>
      </c>
      <c r="G6" s="167">
        <v>0.04</v>
      </c>
      <c r="H6" s="170"/>
      <c r="I6" s="167"/>
      <c r="J6" s="167"/>
      <c r="K6" s="167"/>
      <c r="L6" s="167"/>
      <c r="M6" s="167"/>
      <c r="N6" s="167"/>
      <c r="O6" s="167"/>
      <c r="P6" s="171"/>
      <c r="Q6" s="172"/>
      <c r="R6" s="172"/>
    </row>
    <row r="7" spans="2:18" x14ac:dyDescent="0.2">
      <c r="B7" s="166"/>
      <c r="C7" s="24"/>
      <c r="D7" s="24"/>
      <c r="E7" s="184" t="s">
        <v>298</v>
      </c>
      <c r="F7" s="168">
        <f t="shared" si="1"/>
        <v>10.005000000000001</v>
      </c>
      <c r="G7" s="168">
        <v>0.23</v>
      </c>
    </row>
    <row r="8" spans="2:18" x14ac:dyDescent="0.2">
      <c r="B8" s="180"/>
      <c r="C8" s="61"/>
      <c r="D8" s="61"/>
      <c r="E8" s="183" t="s">
        <v>325</v>
      </c>
      <c r="F8" s="167">
        <f t="shared" si="1"/>
        <v>4.3</v>
      </c>
      <c r="G8" s="167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6"/>
      <c r="C9" s="24"/>
      <c r="D9" s="24"/>
      <c r="E9" s="184" t="s">
        <v>297</v>
      </c>
      <c r="F9" s="168">
        <f t="shared" si="1"/>
        <v>15.479999999999999</v>
      </c>
      <c r="G9" s="168">
        <v>0.36</v>
      </c>
    </row>
    <row r="10" spans="2:18" x14ac:dyDescent="0.2">
      <c r="B10" s="62"/>
      <c r="C10" s="62"/>
      <c r="D10" s="62"/>
      <c r="E10" s="183" t="s">
        <v>303</v>
      </c>
      <c r="F10" s="167">
        <f t="shared" si="1"/>
        <v>2.4299999999999997</v>
      </c>
      <c r="G10" s="167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4" t="s">
        <v>314</v>
      </c>
      <c r="F11" s="168">
        <f t="shared" si="1"/>
        <v>1.4525000000000001</v>
      </c>
      <c r="G11" s="168">
        <v>3.5000000000000003E-2</v>
      </c>
    </row>
    <row r="12" spans="2:18" x14ac:dyDescent="0.2">
      <c r="B12" s="62"/>
      <c r="C12" s="62"/>
      <c r="D12" s="62"/>
      <c r="E12" s="183" t="s">
        <v>315</v>
      </c>
      <c r="F12" s="167">
        <f t="shared" si="1"/>
        <v>1.9750000000000001</v>
      </c>
      <c r="G12" s="167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4" t="s">
        <v>326</v>
      </c>
      <c r="F13" s="168">
        <f t="shared" si="1"/>
        <v>1.8800000000000001</v>
      </c>
      <c r="G13" s="168">
        <v>0.04</v>
      </c>
    </row>
    <row r="14" spans="2:18" x14ac:dyDescent="0.2">
      <c r="B14" s="62"/>
      <c r="C14" s="62"/>
      <c r="D14" s="62"/>
      <c r="E14" s="204" t="s">
        <v>204</v>
      </c>
      <c r="F14" s="167">
        <f t="shared" si="1"/>
        <v>2.4862500000000001</v>
      </c>
      <c r="G14" s="167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4"/>
      <c r="C15" s="164"/>
      <c r="D15" s="164"/>
      <c r="E15" s="181" t="str">
        <f>SEC_Comm!C13</f>
        <v>CO2</v>
      </c>
      <c r="F15" s="182"/>
      <c r="G15" s="182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8"/>
      <c r="M34" s="168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13" t="s">
        <v>116</v>
      </c>
      <c r="I6" s="213"/>
      <c r="J6" s="213"/>
      <c r="K6" s="213"/>
      <c r="L6" s="213"/>
      <c r="M6" s="213"/>
      <c r="N6" s="213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2">
        <v>61</v>
      </c>
      <c r="S8" s="142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77"/>
      <c r="C36" s="177"/>
      <c r="D36" s="177"/>
      <c r="E36" s="177" t="str">
        <f>SEC_Comm!C13</f>
        <v>CO2</v>
      </c>
      <c r="F36" s="177"/>
      <c r="G36" s="177"/>
      <c r="H36" s="177"/>
      <c r="I36" s="177"/>
      <c r="J36" s="178"/>
      <c r="K36" s="177"/>
      <c r="L36" s="177"/>
      <c r="M36" s="177"/>
      <c r="N36" s="177"/>
      <c r="O36" s="177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tabSelected="1" zoomScaleNormal="100" workbookViewId="0">
      <selection activeCell="O15" sqref="O15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13" t="s">
        <v>116</v>
      </c>
      <c r="I6" s="213"/>
      <c r="J6" s="213"/>
      <c r="K6" s="213"/>
      <c r="L6" s="213"/>
      <c r="M6" s="213"/>
      <c r="N6" s="213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6" t="str">
        <f>SEC_Processes!D17</f>
        <v>ELE_EX_BIOMASS</v>
      </c>
      <c r="C7" s="135" t="s">
        <v>209</v>
      </c>
      <c r="D7" s="116" t="s">
        <v>176</v>
      </c>
      <c r="E7" s="136" t="str">
        <f>SEC_Comm!C7</f>
        <v>ELEC_HV</v>
      </c>
      <c r="F7" s="137">
        <v>1</v>
      </c>
      <c r="G7" s="137">
        <v>31.536000000000001</v>
      </c>
      <c r="H7" s="139">
        <v>0.9</v>
      </c>
      <c r="I7" s="139">
        <v>0.1</v>
      </c>
      <c r="J7" s="139">
        <v>0.1</v>
      </c>
      <c r="K7" s="139">
        <v>0.11</v>
      </c>
      <c r="L7" s="139">
        <v>0.11</v>
      </c>
      <c r="M7" s="139">
        <v>0.11</v>
      </c>
      <c r="N7" s="139">
        <v>0.11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0.05</v>
      </c>
      <c r="I8" s="47">
        <v>0.05</v>
      </c>
      <c r="J8" s="47">
        <v>0.05</v>
      </c>
      <c r="K8" s="47">
        <v>0.05</v>
      </c>
      <c r="L8" s="47">
        <v>0.05</v>
      </c>
      <c r="M8" s="47">
        <v>0.05</v>
      </c>
      <c r="N8" s="47">
        <v>0.05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206</v>
      </c>
      <c r="D9" s="116" t="s">
        <v>192</v>
      </c>
      <c r="E9" s="61" t="str">
        <f>SEC_Comm!C7</f>
        <v>ELEC_HV</v>
      </c>
      <c r="F9" s="131">
        <v>1</v>
      </c>
      <c r="G9" s="61">
        <v>31.536000000000001</v>
      </c>
      <c r="H9" s="139">
        <v>0.1</v>
      </c>
      <c r="I9" s="139">
        <v>0.1</v>
      </c>
      <c r="J9" s="139">
        <v>0.1</v>
      </c>
      <c r="K9" s="139">
        <v>0.1</v>
      </c>
      <c r="L9" s="139">
        <v>0.1</v>
      </c>
      <c r="M9" s="139">
        <v>0.1</v>
      </c>
      <c r="N9" s="139">
        <v>0.1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45" t="str">
        <f>SEC_Processes!D20</f>
        <v>ELE_EX_HIDRO_STORAGE_PUMP</v>
      </c>
      <c r="C10" s="134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6">
        <v>0.4</v>
      </c>
      <c r="I10" s="146">
        <v>0.4</v>
      </c>
      <c r="J10" s="146">
        <v>0.4</v>
      </c>
      <c r="K10" s="146">
        <v>0.4</v>
      </c>
      <c r="L10" s="146">
        <v>0.4</v>
      </c>
      <c r="M10" s="146">
        <v>0.4</v>
      </c>
      <c r="N10" s="146">
        <v>0.4</v>
      </c>
      <c r="O10" s="147">
        <v>0.05</v>
      </c>
      <c r="P10" s="147">
        <v>1</v>
      </c>
      <c r="Q10" s="148">
        <v>8</v>
      </c>
      <c r="R10" s="147">
        <v>0</v>
      </c>
    </row>
    <row r="11" spans="2:19" ht="20.45" customHeight="1" x14ac:dyDescent="0.2">
      <c r="B11" s="133" t="str">
        <f>SEC_Processes!D21</f>
        <v>ELE_EX_OTHER</v>
      </c>
      <c r="C11" s="127" t="s">
        <v>222</v>
      </c>
      <c r="D11" s="116" t="s">
        <v>223</v>
      </c>
      <c r="E11" s="61" t="str">
        <f>SEC_Comm!C7</f>
        <v>ELEC_HV</v>
      </c>
      <c r="F11" s="131">
        <v>1</v>
      </c>
      <c r="G11" s="61">
        <v>31.536000000000001</v>
      </c>
      <c r="H11" s="139">
        <v>0.1</v>
      </c>
      <c r="I11" s="139">
        <v>0.1</v>
      </c>
      <c r="J11" s="139">
        <v>0.1</v>
      </c>
      <c r="K11" s="139">
        <v>0.1</v>
      </c>
      <c r="L11" s="139">
        <v>0.1</v>
      </c>
      <c r="M11" s="139">
        <v>0.1</v>
      </c>
      <c r="N11" s="139">
        <v>0.1</v>
      </c>
      <c r="O11" s="132">
        <v>0.05</v>
      </c>
      <c r="P11" s="132">
        <v>1</v>
      </c>
      <c r="Q11" s="138">
        <v>50</v>
      </c>
      <c r="R11" s="132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0">
        <v>1.1200000000000001</v>
      </c>
      <c r="I12" s="47">
        <v>1.22</v>
      </c>
      <c r="J12" s="47">
        <v>1.22</v>
      </c>
      <c r="K12" s="47">
        <v>1.22</v>
      </c>
      <c r="L12" s="47">
        <v>1.22</v>
      </c>
      <c r="M12" s="47">
        <v>1.22</v>
      </c>
      <c r="N12" s="47">
        <v>1.22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69" t="str">
        <f>SEC_Processes!E12</f>
        <v>Existing autoproducer PV Elecrticity</v>
      </c>
      <c r="D13" s="116" t="s">
        <v>124</v>
      </c>
      <c r="E13" s="46" t="s">
        <v>308</v>
      </c>
      <c r="F13" s="131">
        <v>1</v>
      </c>
      <c r="G13" s="61">
        <v>31.536000000000001</v>
      </c>
      <c r="H13" s="201">
        <v>0.443</v>
      </c>
      <c r="I13" s="131">
        <v>0.66500000000000004</v>
      </c>
      <c r="J13" s="131">
        <v>0.66500000000000004</v>
      </c>
      <c r="K13" s="131">
        <v>0.66500000000000004</v>
      </c>
      <c r="L13" s="131">
        <v>0.66500000000000004</v>
      </c>
      <c r="M13" s="131">
        <v>0.66500000000000004</v>
      </c>
      <c r="N13" s="131">
        <v>0.66500000000000004</v>
      </c>
      <c r="O13" s="202">
        <v>0.05</v>
      </c>
      <c r="P13" s="202">
        <v>1</v>
      </c>
      <c r="Q13" s="202">
        <v>20</v>
      </c>
      <c r="R13" s="202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0.16700000000000001</v>
      </c>
      <c r="I14" s="47">
        <v>0.26700000000000002</v>
      </c>
      <c r="J14" s="47">
        <v>4.1970000000000001</v>
      </c>
      <c r="K14" s="47">
        <v>4.1970000000000001</v>
      </c>
      <c r="L14" s="47">
        <v>4.1970000000000001</v>
      </c>
      <c r="M14" s="47">
        <v>4.1970000000000001</v>
      </c>
      <c r="N14" s="47">
        <v>4.1970000000000001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03" t="s">
        <v>124</v>
      </c>
      <c r="E15" s="64" t="s">
        <v>308</v>
      </c>
      <c r="F15" s="84">
        <v>1</v>
      </c>
      <c r="G15" s="64">
        <v>31.536000000000001</v>
      </c>
      <c r="H15" s="141">
        <v>0.53</v>
      </c>
      <c r="I15" s="84">
        <v>0.79</v>
      </c>
      <c r="J15" s="84">
        <v>0.79</v>
      </c>
      <c r="K15" s="84">
        <v>1.5</v>
      </c>
      <c r="L15" s="84">
        <v>1.7</v>
      </c>
      <c r="M15" s="84">
        <v>1.9</v>
      </c>
      <c r="N15" s="84">
        <v>2.2000000000000002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185" t="s">
        <v>36</v>
      </c>
      <c r="C28" s="42" t="s">
        <v>297</v>
      </c>
      <c r="D28" s="185" t="s">
        <v>312</v>
      </c>
      <c r="E28" s="186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185" t="s">
        <v>36</v>
      </c>
      <c r="C30" s="42" t="s">
        <v>302</v>
      </c>
      <c r="D30" s="185" t="s">
        <v>333</v>
      </c>
      <c r="E30" s="186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185" t="s">
        <v>36</v>
      </c>
      <c r="C32" s="42" t="s">
        <v>325</v>
      </c>
      <c r="D32" s="42" t="s">
        <v>334</v>
      </c>
      <c r="E32" s="186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185" t="s">
        <v>36</v>
      </c>
      <c r="C34" s="42" t="s">
        <v>315</v>
      </c>
      <c r="D34" s="42" t="s">
        <v>315</v>
      </c>
      <c r="E34" s="186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185" t="s">
        <v>36</v>
      </c>
      <c r="C36" s="42" t="s">
        <v>328</v>
      </c>
      <c r="D36" s="185" t="s">
        <v>336</v>
      </c>
      <c r="E36" s="186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185" t="s">
        <v>36</v>
      </c>
      <c r="C38" s="42" t="s">
        <v>178</v>
      </c>
      <c r="D38" s="185" t="s">
        <v>179</v>
      </c>
      <c r="E38" s="186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3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3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196" t="s">
        <v>36</v>
      </c>
      <c r="C46" s="197" t="s">
        <v>223</v>
      </c>
      <c r="D46" s="196" t="s">
        <v>223</v>
      </c>
      <c r="E46" s="198" t="s">
        <v>38</v>
      </c>
      <c r="F46" s="199"/>
      <c r="G46" s="199"/>
      <c r="H46" s="199"/>
      <c r="I46" s="199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X28"/>
  <sheetViews>
    <sheetView topLeftCell="L1" zoomScale="90" zoomScaleNormal="110" workbookViewId="0">
      <selection activeCell="O38" sqref="O38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20.85546875" customWidth="1"/>
    <col min="19" max="19" width="20.140625" customWidth="1"/>
    <col min="20" max="23" width="20.85546875" customWidth="1"/>
    <col min="24" max="24" width="53.28515625" customWidth="1"/>
  </cols>
  <sheetData>
    <row r="2" spans="2:24" ht="18" x14ac:dyDescent="0.25">
      <c r="B2" s="102" t="s">
        <v>125</v>
      </c>
      <c r="C2" s="41"/>
      <c r="E2" s="26"/>
      <c r="F2" s="26"/>
      <c r="G2" s="26"/>
      <c r="H2" s="26"/>
    </row>
    <row r="3" spans="2:24" x14ac:dyDescent="0.2">
      <c r="B3" s="31"/>
      <c r="C3" s="25"/>
      <c r="E3" s="26"/>
      <c r="F3" s="26"/>
      <c r="G3" s="26"/>
      <c r="H3" s="26"/>
    </row>
    <row r="4" spans="2:24" ht="15.75" customHeight="1" x14ac:dyDescent="0.2">
      <c r="E4" s="36" t="s">
        <v>100</v>
      </c>
      <c r="F4" s="36"/>
      <c r="G4" s="36"/>
      <c r="H4" s="36"/>
      <c r="I4" s="34"/>
      <c r="J4" s="34"/>
    </row>
    <row r="5" spans="2:24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P5" s="106" t="s">
        <v>132</v>
      </c>
      <c r="Q5" s="106" t="s">
        <v>133</v>
      </c>
      <c r="R5" s="106" t="s">
        <v>369</v>
      </c>
      <c r="S5" s="106" t="s">
        <v>370</v>
      </c>
      <c r="T5" s="106" t="s">
        <v>371</v>
      </c>
      <c r="U5" s="106" t="s">
        <v>375</v>
      </c>
      <c r="V5" s="106" t="s">
        <v>376</v>
      </c>
      <c r="W5" s="106" t="s">
        <v>377</v>
      </c>
      <c r="X5" s="106" t="s">
        <v>205</v>
      </c>
    </row>
    <row r="6" spans="2:24" ht="31.7" customHeight="1" x14ac:dyDescent="0.2">
      <c r="B6" s="118" t="s">
        <v>111</v>
      </c>
      <c r="C6" s="118" t="s">
        <v>70</v>
      </c>
      <c r="D6" s="118" t="s">
        <v>112</v>
      </c>
      <c r="E6" s="118" t="s">
        <v>113</v>
      </c>
      <c r="F6" s="118" t="s">
        <v>114</v>
      </c>
      <c r="G6" s="118" t="s">
        <v>270</v>
      </c>
      <c r="H6" s="118" t="s">
        <v>77</v>
      </c>
      <c r="I6" s="118"/>
      <c r="J6" s="118"/>
      <c r="K6" s="118" t="s">
        <v>277</v>
      </c>
      <c r="L6" s="118" t="s">
        <v>277</v>
      </c>
      <c r="M6" s="118" t="s">
        <v>277</v>
      </c>
      <c r="N6" s="118" t="s">
        <v>277</v>
      </c>
      <c r="O6" s="118" t="s">
        <v>277</v>
      </c>
      <c r="P6" s="118"/>
      <c r="Q6" s="118"/>
      <c r="R6" s="118" t="s">
        <v>372</v>
      </c>
      <c r="S6" s="118" t="s">
        <v>373</v>
      </c>
      <c r="T6" s="118" t="s">
        <v>374</v>
      </c>
      <c r="U6" s="118" t="s">
        <v>378</v>
      </c>
      <c r="V6" s="118" t="s">
        <v>379</v>
      </c>
      <c r="W6" s="118" t="s">
        <v>380</v>
      </c>
    </row>
    <row r="7" spans="2:24" ht="18.95" customHeight="1" x14ac:dyDescent="0.2">
      <c r="B7" s="205" t="str">
        <f>SEC_Processes!D24</f>
        <v>TRANSF_HV-MV</v>
      </c>
      <c r="C7" s="205" t="str">
        <f>SEC_Processes!E24</f>
        <v>Electricity Transformation and Distribution High Voltage to Medium Voltage</v>
      </c>
      <c r="D7" s="205" t="str">
        <f>SEC_Comm!C7</f>
        <v>ELEC_HV</v>
      </c>
      <c r="E7" s="205" t="str">
        <f>SEC_Comm!C10</f>
        <v>ELEC_MV_GRID</v>
      </c>
      <c r="F7" s="206">
        <v>0.94</v>
      </c>
      <c r="G7">
        <v>5.5</v>
      </c>
      <c r="H7">
        <v>1</v>
      </c>
      <c r="I7">
        <v>31.536000000000001</v>
      </c>
      <c r="J7">
        <v>0</v>
      </c>
      <c r="K7">
        <v>50</v>
      </c>
      <c r="L7">
        <v>50</v>
      </c>
      <c r="M7">
        <v>0</v>
      </c>
      <c r="N7">
        <v>0</v>
      </c>
      <c r="O7">
        <v>0</v>
      </c>
      <c r="P7">
        <v>1</v>
      </c>
      <c r="Q7">
        <v>1</v>
      </c>
      <c r="U7">
        <v>1</v>
      </c>
      <c r="V7">
        <v>1</v>
      </c>
      <c r="W7">
        <v>1</v>
      </c>
      <c r="X7" s="1">
        <f>1-F7</f>
        <v>6.0000000000000053E-2</v>
      </c>
    </row>
    <row r="8" spans="2:24" ht="18.95" customHeight="1" x14ac:dyDescent="0.2">
      <c r="B8" s="207" t="str">
        <f>SEC_Processes!D25</f>
        <v>TRANSF_MV-LV</v>
      </c>
      <c r="C8" s="207" t="str">
        <f>SEC_Processes!E25</f>
        <v>Electricity Transformation and Distribution Medium Voltage to Low Voltage</v>
      </c>
      <c r="D8" s="207" t="str">
        <f>SEC_Comm!C10</f>
        <v>ELEC_MV_GRID</v>
      </c>
      <c r="E8" s="62"/>
      <c r="F8" s="208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62">
        <v>80</v>
      </c>
      <c r="L8" s="62">
        <v>70</v>
      </c>
      <c r="M8" s="62">
        <v>0</v>
      </c>
      <c r="N8" s="62">
        <v>0</v>
      </c>
      <c r="O8" s="62">
        <v>0</v>
      </c>
      <c r="P8" s="62">
        <v>1</v>
      </c>
      <c r="Q8" s="62">
        <v>1</v>
      </c>
      <c r="R8" s="62"/>
      <c r="S8" s="62"/>
      <c r="T8" s="62"/>
      <c r="U8" s="62">
        <v>1</v>
      </c>
      <c r="V8" s="62">
        <v>1</v>
      </c>
      <c r="W8" s="62">
        <v>1</v>
      </c>
    </row>
    <row r="9" spans="2:24" ht="18.95" customHeight="1" x14ac:dyDescent="0.2">
      <c r="B9" s="207"/>
      <c r="C9" s="207"/>
      <c r="D9" s="207"/>
      <c r="E9" s="207" t="str">
        <f>SEC_Comm!C11</f>
        <v>ELEC_LV_GRID</v>
      </c>
      <c r="F9" s="208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</row>
    <row r="10" spans="2:24" ht="18.95" customHeight="1" x14ac:dyDescent="0.2">
      <c r="B10" s="205" t="str">
        <f>SEC_Processes!D26</f>
        <v>DISTRIBU_LV</v>
      </c>
      <c r="C10" s="205" t="str">
        <f>SEC_Processes!E26</f>
        <v>Electricity distribution to Low Voltage</v>
      </c>
      <c r="D10" t="s">
        <v>306</v>
      </c>
      <c r="F10">
        <v>0.89</v>
      </c>
      <c r="G10">
        <v>5.5</v>
      </c>
      <c r="H10">
        <v>1</v>
      </c>
      <c r="I10">
        <v>31.536000000000001</v>
      </c>
      <c r="J10">
        <v>0</v>
      </c>
      <c r="K10">
        <v>150</v>
      </c>
      <c r="L10">
        <v>150</v>
      </c>
      <c r="M10">
        <v>0</v>
      </c>
      <c r="N10">
        <v>0</v>
      </c>
      <c r="O10">
        <v>0</v>
      </c>
      <c r="P10">
        <v>1</v>
      </c>
      <c r="Q10">
        <v>1</v>
      </c>
      <c r="R10">
        <v>5</v>
      </c>
      <c r="S10">
        <v>4.2</v>
      </c>
      <c r="T10">
        <v>3.7</v>
      </c>
      <c r="U10">
        <v>1</v>
      </c>
      <c r="V10">
        <v>1</v>
      </c>
      <c r="W10">
        <v>1</v>
      </c>
    </row>
    <row r="11" spans="2:24" ht="18.95" customHeight="1" x14ac:dyDescent="0.2">
      <c r="B11" s="207"/>
      <c r="C11" s="207"/>
      <c r="D11" s="207"/>
      <c r="E11" s="207" t="s">
        <v>290</v>
      </c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</row>
    <row r="12" spans="2:24" x14ac:dyDescent="0.2">
      <c r="E12" s="23"/>
      <c r="F12" s="23"/>
      <c r="G12" s="23"/>
      <c r="H12" s="23"/>
    </row>
    <row r="16" spans="2:24" x14ac:dyDescent="0.2">
      <c r="F16" s="162"/>
      <c r="G16" s="162"/>
      <c r="H16" s="162"/>
    </row>
    <row r="17" spans="4:8" x14ac:dyDescent="0.2">
      <c r="F17" s="162"/>
      <c r="G17" s="162"/>
      <c r="H17" s="162"/>
    </row>
    <row r="18" spans="4:8" x14ac:dyDescent="0.2">
      <c r="F18" s="163"/>
      <c r="G18" s="163"/>
      <c r="H18" s="163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  <c r="G2" s="150"/>
      <c r="H2" s="150"/>
      <c r="I2" s="150"/>
      <c r="J2" s="150"/>
      <c r="K2" s="150"/>
    </row>
    <row r="4" spans="2:21" x14ac:dyDescent="0.2">
      <c r="E4" s="151" t="s">
        <v>100</v>
      </c>
      <c r="F4" s="151"/>
      <c r="G4" s="151"/>
      <c r="H4" s="151"/>
      <c r="I4" s="151"/>
      <c r="J4" s="151"/>
      <c r="K4" s="151"/>
    </row>
    <row r="5" spans="2:21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233</v>
      </c>
      <c r="L5" s="152" t="s">
        <v>234</v>
      </c>
      <c r="M5" s="152" t="s">
        <v>235</v>
      </c>
      <c r="N5" s="152" t="s">
        <v>249</v>
      </c>
      <c r="O5" s="159" t="s">
        <v>259</v>
      </c>
      <c r="P5" s="159" t="s">
        <v>250</v>
      </c>
      <c r="Q5" s="159" t="s">
        <v>251</v>
      </c>
      <c r="R5" s="159" t="s">
        <v>252</v>
      </c>
      <c r="S5" s="159" t="s">
        <v>253</v>
      </c>
      <c r="T5" s="159" t="s">
        <v>254</v>
      </c>
      <c r="U5" s="159" t="s">
        <v>255</v>
      </c>
    </row>
    <row r="6" spans="2:21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5" t="s">
        <v>241</v>
      </c>
      <c r="M6" s="155" t="s">
        <v>240</v>
      </c>
      <c r="N6" s="155" t="s">
        <v>258</v>
      </c>
      <c r="O6" s="155"/>
      <c r="P6" s="155"/>
      <c r="Q6" s="155"/>
      <c r="R6" s="155"/>
      <c r="S6" s="155"/>
      <c r="T6" s="155"/>
      <c r="U6" s="155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1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workbookViewId="0">
      <selection activeCell="R11" sqref="R1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1" t="s">
        <v>100</v>
      </c>
      <c r="F4" s="151"/>
      <c r="G4" s="151"/>
      <c r="H4" s="151"/>
      <c r="I4" s="151"/>
      <c r="J4" s="151"/>
      <c r="K4" s="151"/>
      <c r="L4" s="151"/>
    </row>
    <row r="5" spans="2:22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231</v>
      </c>
      <c r="L5" s="154" t="s">
        <v>233</v>
      </c>
      <c r="M5" s="152" t="s">
        <v>234</v>
      </c>
      <c r="N5" s="152" t="s">
        <v>235</v>
      </c>
      <c r="O5" s="152" t="s">
        <v>249</v>
      </c>
      <c r="P5" s="159" t="s">
        <v>259</v>
      </c>
      <c r="Q5" s="159" t="s">
        <v>250</v>
      </c>
      <c r="R5" s="159" t="s">
        <v>251</v>
      </c>
      <c r="S5" s="159" t="s">
        <v>252</v>
      </c>
      <c r="T5" s="159" t="s">
        <v>253</v>
      </c>
      <c r="U5" s="159" t="s">
        <v>254</v>
      </c>
      <c r="V5" s="159" t="s">
        <v>255</v>
      </c>
    </row>
    <row r="6" spans="2:22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6"/>
      <c r="M6" s="155" t="s">
        <v>241</v>
      </c>
      <c r="N6" s="155" t="s">
        <v>240</v>
      </c>
      <c r="O6" s="155" t="s">
        <v>258</v>
      </c>
      <c r="P6" s="155"/>
      <c r="Q6" s="155"/>
      <c r="R6" s="155" t="s">
        <v>351</v>
      </c>
      <c r="S6" s="155" t="s">
        <v>351</v>
      </c>
      <c r="T6" s="155" t="s">
        <v>351</v>
      </c>
      <c r="U6" s="155" t="s">
        <v>351</v>
      </c>
      <c r="V6" s="155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1">
        <v>30</v>
      </c>
      <c r="P7" s="12">
        <v>11</v>
      </c>
      <c r="Q7" s="12">
        <v>11</v>
      </c>
      <c r="R7" s="12">
        <v>11</v>
      </c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</row>
    <row r="4" spans="2:21" x14ac:dyDescent="0.2">
      <c r="E4" s="151" t="s">
        <v>100</v>
      </c>
    </row>
    <row r="5" spans="2:21" ht="38.2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3" t="s">
        <v>225</v>
      </c>
      <c r="G5" s="158" t="s">
        <v>226</v>
      </c>
      <c r="H5" s="154" t="s">
        <v>227</v>
      </c>
      <c r="I5" s="154" t="s">
        <v>228</v>
      </c>
      <c r="J5" s="154" t="s">
        <v>229</v>
      </c>
      <c r="K5" s="154" t="s">
        <v>230</v>
      </c>
      <c r="L5" s="154" t="s">
        <v>231</v>
      </c>
      <c r="M5" s="154" t="s">
        <v>232</v>
      </c>
      <c r="N5" s="154" t="s">
        <v>233</v>
      </c>
      <c r="O5" s="152" t="s">
        <v>234</v>
      </c>
      <c r="P5" s="152" t="s">
        <v>235</v>
      </c>
      <c r="Q5" s="152" t="s">
        <v>236</v>
      </c>
      <c r="R5" s="152" t="s">
        <v>109</v>
      </c>
      <c r="S5" s="152" t="s">
        <v>110</v>
      </c>
      <c r="T5" s="159" t="s">
        <v>237</v>
      </c>
      <c r="U5" s="160" t="s">
        <v>238</v>
      </c>
    </row>
    <row r="6" spans="2:21" ht="13.5" thickBot="1" x14ac:dyDescent="0.25">
      <c r="B6" s="155" t="s">
        <v>239</v>
      </c>
      <c r="C6" s="155"/>
      <c r="D6" s="155"/>
      <c r="E6" s="156"/>
      <c r="F6" s="156"/>
      <c r="G6" s="155" t="s">
        <v>240</v>
      </c>
      <c r="H6" s="155" t="s">
        <v>77</v>
      </c>
      <c r="I6" s="155" t="s">
        <v>77</v>
      </c>
      <c r="J6" s="155" t="s">
        <v>77</v>
      </c>
      <c r="K6" s="155" t="s">
        <v>77</v>
      </c>
      <c r="L6" s="155" t="s">
        <v>77</v>
      </c>
      <c r="M6" s="155" t="s">
        <v>77</v>
      </c>
      <c r="N6" s="155" t="s">
        <v>77</v>
      </c>
      <c r="O6" s="155" t="s">
        <v>241</v>
      </c>
      <c r="P6" s="155" t="s">
        <v>240</v>
      </c>
      <c r="Q6" s="155" t="s">
        <v>242</v>
      </c>
      <c r="R6" s="155" t="s">
        <v>278</v>
      </c>
      <c r="S6" s="155" t="s">
        <v>243</v>
      </c>
      <c r="T6" s="155"/>
      <c r="U6" s="155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 t="s">
        <v>245</v>
      </c>
      <c r="U8" s="157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B7" sqref="B7:G7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191" t="s">
        <v>111</v>
      </c>
      <c r="C6" s="191" t="s">
        <v>129</v>
      </c>
      <c r="D6" s="226" t="s">
        <v>130</v>
      </c>
      <c r="E6" s="226"/>
      <c r="F6" s="226"/>
      <c r="G6" s="226"/>
    </row>
    <row r="7" spans="2:9" ht="15.75" customHeight="1" x14ac:dyDescent="0.2">
      <c r="B7" s="189" t="str">
        <f>SEC_Processes!D15</f>
        <v>ELE_EX_HC</v>
      </c>
      <c r="C7" s="188" t="s">
        <v>45</v>
      </c>
      <c r="D7" s="179">
        <v>96</v>
      </c>
      <c r="E7" s="190"/>
      <c r="F7" s="190"/>
      <c r="G7" s="190"/>
    </row>
    <row r="8" spans="2:9" ht="15.75" customHeight="1" x14ac:dyDescent="0.2">
      <c r="B8" s="174" t="str">
        <f>SEC_Processes!D16</f>
        <v>ELE_EX_OILGAS</v>
      </c>
      <c r="C8" s="188" t="s">
        <v>45</v>
      </c>
      <c r="D8" s="175"/>
      <c r="E8" s="175">
        <v>112</v>
      </c>
      <c r="F8" s="175"/>
      <c r="G8" s="175"/>
    </row>
    <row r="9" spans="2:9" ht="15.75" customHeight="1" x14ac:dyDescent="0.2">
      <c r="B9" s="192" t="str">
        <f>SEC_Processes!D27</f>
        <v>REFINARY</v>
      </c>
      <c r="C9" s="195" t="s">
        <v>45</v>
      </c>
      <c r="D9" s="193"/>
      <c r="E9" s="193"/>
      <c r="F9" s="193"/>
      <c r="G9" s="194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D99FA-8D61-47C1-BBA6-824A0E7DE546}">
  <dimension ref="B2:O6"/>
  <sheetViews>
    <sheetView workbookViewId="0">
      <selection activeCell="F25" sqref="F25"/>
    </sheetView>
  </sheetViews>
  <sheetFormatPr defaultRowHeight="12.75" x14ac:dyDescent="0.2"/>
  <sheetData>
    <row r="2" spans="2:15" x14ac:dyDescent="0.2">
      <c r="C2" t="s">
        <v>352</v>
      </c>
    </row>
    <row r="4" spans="2:15" x14ac:dyDescent="0.2">
      <c r="B4" s="36" t="s">
        <v>353</v>
      </c>
    </row>
    <row r="5" spans="2:15" x14ac:dyDescent="0.2">
      <c r="B5" s="106" t="s">
        <v>354</v>
      </c>
      <c r="C5" s="106" t="s">
        <v>25</v>
      </c>
      <c r="D5" s="106" t="s">
        <v>355</v>
      </c>
      <c r="E5" s="106" t="s">
        <v>163</v>
      </c>
      <c r="F5" s="106" t="s">
        <v>356</v>
      </c>
      <c r="G5" s="106" t="s">
        <v>357</v>
      </c>
      <c r="H5" s="106" t="s">
        <v>358</v>
      </c>
      <c r="I5" s="106" t="s">
        <v>359</v>
      </c>
      <c r="J5" s="106" t="s">
        <v>360</v>
      </c>
      <c r="K5" s="106" t="s">
        <v>361</v>
      </c>
      <c r="L5" s="106" t="s">
        <v>362</v>
      </c>
      <c r="M5" s="106" t="s">
        <v>363</v>
      </c>
      <c r="N5" s="106" t="s">
        <v>364</v>
      </c>
      <c r="O5" s="106" t="s">
        <v>365</v>
      </c>
    </row>
    <row r="6" spans="2:15" x14ac:dyDescent="0.2">
      <c r="B6" s="209"/>
      <c r="C6" s="210" t="s">
        <v>366</v>
      </c>
      <c r="D6" s="211" t="s">
        <v>367</v>
      </c>
      <c r="E6" s="212"/>
      <c r="F6" s="212">
        <v>2</v>
      </c>
      <c r="G6" s="212"/>
      <c r="H6" s="209"/>
      <c r="I6" s="210" t="s">
        <v>368</v>
      </c>
      <c r="J6" s="211"/>
      <c r="K6" s="212"/>
      <c r="L6" s="212"/>
      <c r="M6" s="212"/>
      <c r="N6" s="209"/>
      <c r="O6" s="2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  <vt:lpstr>IMPNRGZ_BND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2026-05-26T10:40:46Z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