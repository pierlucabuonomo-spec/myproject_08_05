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labee2\Desktop\PIANIFICAZIONE ENERGETICA\myproject_08_05\"/>
    </mc:Choice>
  </mc:AlternateContent>
  <xr:revisionPtr revIDLastSave="0" documentId="13_ncr:1_{20B17B52-93C0-49A6-8160-CA7AC635EEAE}" xr6:coauthVersionLast="47" xr6:coauthVersionMax="47" xr10:uidLastSave="{00000000-0000-0000-0000-000000000000}"/>
  <bookViews>
    <workbookView xWindow="-105" yWindow="0" windowWidth="26010" windowHeight="20985" tabRatio="901" activeTab="6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  <sheet name="IMPNRGZ_BND" sheetId="146" r:id="rId13"/>
  </sheets>
  <externalReferences>
    <externalReference r:id="rId14"/>
  </externalReferences>
  <definedNames>
    <definedName name="_Order1">0</definedName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9" i="136"/>
  <c r="E33" i="144"/>
  <c r="C5" i="144"/>
  <c r="B5" i="144"/>
  <c r="D27" i="136"/>
  <c r="D28" i="136" s="1"/>
  <c r="C10" i="136"/>
  <c r="B10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X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<sst xmlns="http://schemas.openxmlformats.org/spreadsheetml/2006/main" count="901" uniqueCount="381">
  <si>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</si>
  <si>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</si>
  <si>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</si>
  <si>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</si>
  <si>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</si>
  <si>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</si>
  <si>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</si>
  <si>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</si>
  <si>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</si>
  <si>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</si>
  <si>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</si>
  <si>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</si>
  <si>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</si>
  <si>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</si>
  <si>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</si>
  <si>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</si>
  <si>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</si>
  <si>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</si>
  <si>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</si>
  <si>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</si>
  <si>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</si>
  <si>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</si>
  <si>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</si>
  <si>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</si>
  <si>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</si>
  <si>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</si>
  <si>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</si>
  <si>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</si>
  <si>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</si>
  <si>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</si>
  <si>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</si>
  <si>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</si>
  <si>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</si>
  <si>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</si>
  <si>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</si>
  <si>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</si>
  <si>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</si>
  <si>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</si>
  <si>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</si>
  <si>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</si>
  <si>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</si>
  <si>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</si>
  <si>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</si>
  <si>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</si>
  <si>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</si>
  <si>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</si>
  <si>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</si>
  <si>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</si>
  <si>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</si>
  <si>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</si>
  <si>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</si>
  <si>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</si>
  <si>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</si>
  <si>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</si>
  <si>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</si>
  <si>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</si>
  <si>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</si>
  <si>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</si>
  <si>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</si>
  <si>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</si>
  <si>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</si>
  <si>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</si>
  <si>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</si>
  <si>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</si>
  <si>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</si>
  <si>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</si>
  <si>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</si>
  <si>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</si>
  <si>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</si>
  <si>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</si>
  <si>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</si>
  <si>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</si>
  <si>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</si>
  <si>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</si>
  <si>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</si>
  <si>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</si>
  <si>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</si>
  <si>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</si>
  <si>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</si>
  <si>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</si>
  <si>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</si>
  <si>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</si>
  <si>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</si>
  <si>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</si>
  <si>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</si>
  <si>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</si>
  <si>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</si>
  <si>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</si>
  <si>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</si>
  <si>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</si>
  <si>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</si>
  <si>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</si>
  <si>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</si>
  <si>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</si>
  <si>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</si>
  <si>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</si>
  <si>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</si>
  <si>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</si>
  <si>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</si>
  <si>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</si>
  <si>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</si>
  <si>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</si>
  <si>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</si>
  <si>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</si>
  <si>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</si>
  <si>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</si>
  <si>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</si>
  <si>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</si>
  <si>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</si>
  <si>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</si>
  <si>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</si>
  <si>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</si>
  <si>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</si>
  <si>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</si>
  <si>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</si>
  <si>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</si>
  <si>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</si>
  <si>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</si>
  <si>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</si>
  <si>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</si>
  <si>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</si>
  <si>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</si>
  <si>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</si>
  <si>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</si>
  <si>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</si>
  <si>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</si>
  <si>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</si>
  <si>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</si>
  <si>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</si>
  <si>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</si>
  <si>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</si>
  <si>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</si>
  <si>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</si>
  <si>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</si>
  <si>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</si>
  <si>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</si>
  <si>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</si>
  <si>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</si>
  <si>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</si>
  <si>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</si>
  <si>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</si>
  <si>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</si>
  <si>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</si>
  <si>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</si>
  <si>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</si>
  <si>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</si>
  <si>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</si>
  <si>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</si>
  <si>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</si>
  <si>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</si>
  <si>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</si>
  <si>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</si>
  <si>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</si>
  <si>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</si>
  <si>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</si>
  <si>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</si>
  <si>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</si>
  <si>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</si>
  <si>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</si>
  <si>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</si>
  <si>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</si>
  <si>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</si>
  <si>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</si>
  <si>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</si>
  <si>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</si>
  <si>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</si>
  <si>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</si>
  <si>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</si>
  <si>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</si>
  <si>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</si>
  <si>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</si>
  <si>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</si>
  <si>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</si>
  <si>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</si>
  <si>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</si>
  <si>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</si>
  <si>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</si>
  <si>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</si>
  <si>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</si>
  <si>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</si>
  <si>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</si>
  <si>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</si>
  <si>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</si>
  <si>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</si>
  <si>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</si>
  <si>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</si>
  <si>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</si>
  <si>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</si>
  <si>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</si>
  <si>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</si>
  <si>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</si>
  <si>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</si>
  <si>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</si>
  <si>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</si>
  <si>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</si>
  <si>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</si>
  <si>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</si>
  <si>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</si>
  <si>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</si>
  <si>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</si>
  <si>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</si>
  <si>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</si>
  <si>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</si>
  <si>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</si>
  <si>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</si>
  <si>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</si>
  <si>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</si>
  <si>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</si>
  <si>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</si>
  <si>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</si>
  <si>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</si>
  <si>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</si>
  <si>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</si>
  <si>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</si>
  <si>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</si>
  <si>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</si>
  <si>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</si>
  <si>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</si>
  <si>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</si>
  <si>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</si>
  <si>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</si>
  <si>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</si>
  <si>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</si>
  <si>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</si>
  <si>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</si>
  <si>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</si>
  <si>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</si>
  <si>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</si>
  <si>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</si>
  <si>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</si>
  <si>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</si>
  <si>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</si>
  <si>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</si>
  <si>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</si>
  <si>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</si>
  <si>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</si>
  <si>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</si>
  <si>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</si>
  <si>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</si>
  <si>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</si>
  <si>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</si>
  <si>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</si>
  <si>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</si>
  <si>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</si>
  <si>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</si>
  <si>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</si>
  <si>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</si>
  <si>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</si>
  <si>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</si>
  <si>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</si>
  <si>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</si>
  <si>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</si>
  <si>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</si>
  <si>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</si>
  <si>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</si>
  <si>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</si>
  <si>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</si>
  <si>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</si>
  <si>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</si>
  <si>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</si>
  <si>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</si>
  <si>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</si>
  <si>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</si>
  <si>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</si>
  <si>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</si>
  <si>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</si>
  <si>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</si>
  <si>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</si>
  <si>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</si>
  <si>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</si>
  <si>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</si>
  <si>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</si>
  <si>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</si>
  <si>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</si>
  <si>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</si>
  <si>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</si>
  <si>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</si>
  <si>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</si>
  <si>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</si>
  <si>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</si>
  <si>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</si>
  <si>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</si>
  <si>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</si>
  <si>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</si>
  <si>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</si>
  <si>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</si>
  <si>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</si>
  <si>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</si>
  <si>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</si>
  <si>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</si>
  <si>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</si>
  <si>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</si>
  <si>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</si>
  <si>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</si>
  <si>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</si>
  <si>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</si>
  <si>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</si>
  <si>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</si>
  <si>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</si>
  <si>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</si>
  <si>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</si>
  <si>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</si>
  <si>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</si>
  <si>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</si>
  <si>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</si>
  <si>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</si>
  <si>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</si>
  <si>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</si>
  <si>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</si>
  <si>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</si>
  <si>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</si>
  <si>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</si>
  <si>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</si>
  <si>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</si>
  <si>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</si>
  <si>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</si>
  <si>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</si>
  <si>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</si>
  <si>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</si>
  <si>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</si>
  <si>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</si>
  <si>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</si>
  <si>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</si>
  <si>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</si>
  <si>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</si>
  <si>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</si>
  <si>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</si>
  <si>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</si>
  <si>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</si>
  <si>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</si>
  <si>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</si>
  <si>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</si>
  <si>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</si>
  <si>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</si>
  <si>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</si>
  <si>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</si>
  <si>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</si>
  <si>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</si>
  <si>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</si>
  <si>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</si>
  <si>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</si>
  <si>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</si>
  <si>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</si>
  <si>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</si>
  <si>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</si>
  <si>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</si>
  <si>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Existing Photovoltaics</t>
  </si>
  <si>
    <t>INVCOST~2035</t>
  </si>
  <si>
    <t>INVCOST~2040</t>
  </si>
  <si>
    <t>INVCOST~2045</t>
  </si>
  <si>
    <t>INVCOST~2050</t>
  </si>
  <si>
    <t>PJ/ANNO</t>
  </si>
  <si>
    <t>Limite attività IMPNRGZ - forza uso catena T&amp;D reale</t>
  </si>
  <si>
    <t>~TFM_UPD</t>
  </si>
  <si>
    <t>TimeSlice</t>
  </si>
  <si>
    <t>Attribute</t>
  </si>
  <si>
    <t>AllRegions</t>
  </si>
  <si>
    <t>PL</t>
  </si>
  <si>
    <t>Pset_Set</t>
  </si>
  <si>
    <t>Pset_PN</t>
  </si>
  <si>
    <t>Pset_PD</t>
  </si>
  <si>
    <t>Pset_CI</t>
  </si>
  <si>
    <t>Pset_CO</t>
  </si>
  <si>
    <t>Cset_Set</t>
  </si>
  <si>
    <t>Cset_CN</t>
  </si>
  <si>
    <t>Cset_CD</t>
  </si>
  <si>
    <t>UP</t>
  </si>
  <si>
    <t>ACT_BND</t>
  </si>
  <si>
    <t>IMPNRGZ</t>
  </si>
  <si>
    <t>ACT_BND~LO~2040</t>
  </si>
  <si>
    <t>ACT_BND~LO~2045</t>
  </si>
  <si>
    <t>ACT_BND~LO~2050</t>
  </si>
  <si>
    <t>Min distribuzione LV (ACT_BND~LO~2040)</t>
  </si>
  <si>
    <t>Min distribuzione LV (ACT_BND~LO~2045)</t>
  </si>
  <si>
    <t>Min distribuzione LV (ACT_BND~LO~2050)</t>
  </si>
  <si>
    <t>NCAP_BND~LO~2040</t>
  </si>
  <si>
    <t>NCAP_BND~LO~2045</t>
  </si>
  <si>
    <t>NCAP_BND~LO~2050</t>
  </si>
  <si>
    <t>Capacità minima T&amp;D 1 GW (NCAP_BND~LO~2040)</t>
  </si>
  <si>
    <t>Capacità minima T&amp;D 1 GW (NCAP_BND~LO~2045)</t>
  </si>
  <si>
    <t>Capacità minima T&amp;D 1 GW (NCAP_BND~LO~2050)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</si>
</sst>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27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7" borderId="31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1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0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34" fillId="8" borderId="0" xfId="0" applyFont="1" applyFill="1"/>
    <xf numFmtId="164" fontId="34" fillId="8" borderId="0" xfId="0" applyNumberFormat="1" applyFont="1" applyFill="1"/>
    <xf numFmtId="0" fontId="34" fillId="7" borderId="0" xfId="0" applyFont="1" applyFill="1"/>
    <xf numFmtId="164" fontId="34" fillId="7" borderId="0" xfId="0" applyNumberFormat="1" applyFont="1" applyFill="1"/>
    <xf numFmtId="0" fontId="4" fillId="5" borderId="4" xfId="0" applyFont="1" applyFill="1" applyBorder="1"/>
    <xf numFmtId="0" fontId="18" fillId="5" borderId="4" xfId="4" applyFont="1" applyFill="1" applyBorder="1" applyAlignment="1">
      <alignment horizontal="left"/>
    </xf>
    <xf numFmtId="2" fontId="18" fillId="5" borderId="4" xfId="0" applyNumberFormat="1" applyFont="1" applyFill="1" applyBorder="1" applyAlignment="1">
      <alignment horizontal="right"/>
    </xf>
    <xf numFmtId="2" fontId="37" fillId="5" borderId="4" xfId="0" applyNumberFormat="1" applyFont="1" applyFill="1" applyBorder="1" applyAlignment="1">
      <alignment horizontal="right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2"/>
  <cols>
    <col min="1" max="1" width="3" customWidth="1"/>
    <col min="2" max="2" width="36.5703125" customWidth="1"/>
    <col min="3" max="3" width="49.42578125" customWidth="1"/>
    <col min="4" max="5" width="15" customWidth="1"/>
    <col min="6" max="6" width="10.5703125" customWidth="1"/>
    <col min="7" max="7" width="10" customWidth="1"/>
    <col min="8" max="8" width="12" customWidth="1"/>
    <col min="9" max="9" width="11" customWidth="1"/>
    <col min="10" max="10" width="10.5703125" customWidth="1"/>
  </cols>
  <sheetData>
    <row r="2" spans="2:10" ht="15" x14ac:dyDescent="0.2">
      <c r="B2" s="59" t="s">
        <v>158</v>
      </c>
      <c r="C2" s="59"/>
    </row>
    <row r="4" spans="2:10" x14ac:dyDescent="0.2">
      <c r="B4" s="69"/>
      <c r="C4" s="69"/>
    </row>
    <row r="5" spans="2:10" ht="13.5" thickBot="1" x14ac:dyDescent="0.25">
      <c r="B5" s="69" t="s">
        <v>191</v>
      </c>
      <c r="C5" s="69"/>
    </row>
    <row r="6" spans="2:10" ht="51" x14ac:dyDescent="0.2">
      <c r="B6" s="218" t="s">
        <v>183</v>
      </c>
      <c r="C6" s="221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2">
      <c r="B7" s="219"/>
      <c r="C7" s="222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.75" x14ac:dyDescent="0.2">
      <c r="B8" s="220"/>
      <c r="C8" s="223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x14ac:dyDescent="0.2">
      <c r="B9" s="75" t="s">
        <v>218</v>
      </c>
      <c r="C9" s="108" t="s">
        <v>187</v>
      </c>
      <c r="D9" s="67">
        <v>600</v>
      </c>
      <c r="E9" s="67">
        <v>4500</v>
      </c>
      <c r="F9" s="130">
        <v>0</v>
      </c>
      <c r="G9" s="130">
        <v>1790</v>
      </c>
      <c r="H9" s="130">
        <v>23500</v>
      </c>
      <c r="I9" s="124"/>
      <c r="J9" s="125"/>
    </row>
    <row r="10" spans="2:10" x14ac:dyDescent="0.2">
      <c r="B10" s="75" t="s">
        <v>217</v>
      </c>
      <c r="C10" s="108" t="s">
        <v>186</v>
      </c>
      <c r="D10" s="67">
        <v>550</v>
      </c>
      <c r="E10" s="67">
        <v>4100</v>
      </c>
      <c r="F10" s="130">
        <v>0</v>
      </c>
      <c r="G10" s="130">
        <v>2450</v>
      </c>
      <c r="H10" s="130">
        <v>11000</v>
      </c>
      <c r="I10" s="124"/>
      <c r="J10" s="125"/>
    </row>
    <row r="11" spans="2:10" x14ac:dyDescent="0.2">
      <c r="B11" s="75" t="s">
        <v>216</v>
      </c>
      <c r="C11" s="108" t="s">
        <v>188</v>
      </c>
      <c r="D11" s="67">
        <v>74</v>
      </c>
      <c r="E11" s="67">
        <v>247</v>
      </c>
      <c r="F11" s="130">
        <v>0</v>
      </c>
      <c r="G11" s="124">
        <v>3500</v>
      </c>
      <c r="H11" s="130">
        <v>11000</v>
      </c>
      <c r="I11" s="124"/>
      <c r="J11" s="125"/>
    </row>
    <row r="12" spans="2:10" x14ac:dyDescent="0.2">
      <c r="B12" s="75" t="s">
        <v>214</v>
      </c>
      <c r="C12" s="108" t="s">
        <v>189</v>
      </c>
      <c r="D12" s="67">
        <v>240</v>
      </c>
      <c r="E12" s="67">
        <v>123</v>
      </c>
      <c r="F12" s="130">
        <v>0</v>
      </c>
      <c r="G12" s="130">
        <v>0</v>
      </c>
      <c r="H12" s="124"/>
      <c r="I12" s="124"/>
      <c r="J12" s="125"/>
    </row>
    <row r="13" spans="2:10" x14ac:dyDescent="0.2">
      <c r="B13" s="75" t="s">
        <v>215</v>
      </c>
      <c r="C13" s="108" t="s">
        <v>190</v>
      </c>
      <c r="D13" s="67">
        <v>70</v>
      </c>
      <c r="E13" s="67">
        <v>50</v>
      </c>
      <c r="F13" s="130">
        <v>0</v>
      </c>
      <c r="G13" s="130">
        <v>0</v>
      </c>
      <c r="H13" s="124"/>
      <c r="I13" s="124"/>
      <c r="J13" s="125"/>
    </row>
    <row r="14" spans="2:10" x14ac:dyDescent="0.2">
      <c r="B14" s="75" t="s">
        <v>219</v>
      </c>
      <c r="C14" s="108" t="s">
        <v>142</v>
      </c>
      <c r="D14" s="67">
        <v>1890</v>
      </c>
      <c r="E14" s="67">
        <v>2770</v>
      </c>
      <c r="F14" s="130">
        <v>0</v>
      </c>
      <c r="G14" s="130">
        <v>0</v>
      </c>
      <c r="H14" s="124"/>
      <c r="I14" s="124"/>
      <c r="J14" s="125"/>
    </row>
    <row r="15" spans="2:10" x14ac:dyDescent="0.2">
      <c r="B15" s="75" t="s">
        <v>220</v>
      </c>
      <c r="C15" s="108" t="s">
        <v>143</v>
      </c>
      <c r="D15" s="67">
        <v>1540</v>
      </c>
      <c r="E15" s="67">
        <v>1910</v>
      </c>
      <c r="F15" s="130">
        <v>0</v>
      </c>
      <c r="G15" s="130">
        <v>0</v>
      </c>
      <c r="H15" s="124"/>
      <c r="I15" s="124"/>
      <c r="J15" s="125"/>
    </row>
    <row r="16" spans="2:10" ht="13.5" thickBot="1" x14ac:dyDescent="0.25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5" customHeight="1" x14ac:dyDescent="0.2">
      <c r="B17" s="71" t="s">
        <v>185</v>
      </c>
      <c r="C17" s="71"/>
    </row>
    <row r="18" spans="2:16" x14ac:dyDescent="0.2">
      <c r="B18" s="71" t="s">
        <v>181</v>
      </c>
      <c r="C18" s="71"/>
    </row>
    <row r="19" spans="2:16" x14ac:dyDescent="0.2">
      <c r="B19" s="113" t="s">
        <v>182</v>
      </c>
      <c r="C19" s="71"/>
    </row>
    <row r="20" spans="2:16" x14ac:dyDescent="0.2">
      <c r="B20" s="71" t="s">
        <v>161</v>
      </c>
      <c r="C20" s="71"/>
    </row>
    <row r="21" spans="2:16" x14ac:dyDescent="0.2">
      <c r="B21" s="69"/>
      <c r="C21" s="69"/>
      <c r="D21" s="69"/>
      <c r="E21" s="69"/>
      <c r="F21" s="69"/>
    </row>
    <row r="22" spans="2:16" x14ac:dyDescent="0.2">
      <c r="B22" s="69"/>
      <c r="C22" s="69"/>
      <c r="D22" s="69"/>
      <c r="E22" s="69"/>
      <c r="F22" s="69"/>
    </row>
    <row r="23" spans="2:16" ht="15" x14ac:dyDescent="0.2">
      <c r="B23" s="59" t="s">
        <v>170</v>
      </c>
      <c r="C23" s="59"/>
      <c r="D23" s="69"/>
      <c r="E23" s="69"/>
      <c r="F23" s="69"/>
    </row>
    <row r="25" spans="2:16" x14ac:dyDescent="0.2">
      <c r="B25" s="69" t="s">
        <v>151</v>
      </c>
      <c r="C25" s="69"/>
      <c r="D25" s="69"/>
      <c r="E25" s="69"/>
      <c r="F25" s="69"/>
    </row>
    <row r="26" spans="2:16" ht="13.5" thickBot="1" x14ac:dyDescent="0.25">
      <c r="B26" s="69" t="s">
        <v>150</v>
      </c>
      <c r="C26" s="69"/>
      <c r="D26" s="69"/>
      <c r="E26" s="69"/>
      <c r="F26" s="69"/>
    </row>
    <row r="27" spans="2:16" ht="31.7" customHeight="1" x14ac:dyDescent="0.2">
      <c r="B27" s="216" t="s">
        <v>213</v>
      </c>
      <c r="C27" s="214" t="s">
        <v>146</v>
      </c>
      <c r="D27" s="72" t="s">
        <v>13</v>
      </c>
      <c r="E27" s="80" t="s">
        <v>14</v>
      </c>
      <c r="F27" s="69"/>
    </row>
    <row r="28" spans="2:16" ht="31.7" customHeight="1" x14ac:dyDescent="0.2">
      <c r="B28" s="217"/>
      <c r="C28" s="215"/>
      <c r="D28" s="20" t="s">
        <v>149</v>
      </c>
      <c r="E28" s="112" t="s">
        <v>114</v>
      </c>
      <c r="F28" s="69"/>
    </row>
    <row r="29" spans="2:16" x14ac:dyDescent="0.2">
      <c r="B29" s="81" t="s">
        <v>15</v>
      </c>
      <c r="C29" s="110" t="s">
        <v>147</v>
      </c>
      <c r="D29" s="68" t="s">
        <v>168</v>
      </c>
      <c r="E29" s="144">
        <v>0.98499999999999999</v>
      </c>
      <c r="F29" s="69"/>
      <c r="G29" s="2"/>
    </row>
    <row r="30" spans="2:16" x14ac:dyDescent="0.2">
      <c r="B30" s="81" t="s">
        <v>15</v>
      </c>
      <c r="C30" s="110" t="s">
        <v>147</v>
      </c>
      <c r="D30" s="68" t="s">
        <v>169</v>
      </c>
      <c r="E30" s="144">
        <v>0.95299999999999996</v>
      </c>
      <c r="F30" s="69"/>
      <c r="G30" s="2"/>
    </row>
    <row r="31" spans="2:16" x14ac:dyDescent="0.2">
      <c r="B31" s="81" t="s">
        <v>15</v>
      </c>
      <c r="C31" s="110" t="s">
        <v>147</v>
      </c>
      <c r="D31" s="68" t="s">
        <v>148</v>
      </c>
      <c r="E31" s="144">
        <v>0.89800000000000002</v>
      </c>
      <c r="F31" s="69"/>
      <c r="G31" s="23"/>
    </row>
    <row r="32" spans="2:16" x14ac:dyDescent="0.2">
      <c r="B32" s="71"/>
      <c r="C32" s="69"/>
      <c r="D32" s="69"/>
      <c r="E32" s="70"/>
      <c r="F32" s="69"/>
      <c r="O32" s="23"/>
      <c r="P32" s="23"/>
    </row>
    <row r="33" spans="2:6" x14ac:dyDescent="0.2">
      <c r="B33" s="113"/>
      <c r="C33" s="69"/>
      <c r="D33" s="69"/>
      <c r="E33" s="70"/>
      <c r="F33" s="69"/>
    </row>
    <row r="34" spans="2:6" x14ac:dyDescent="0.2">
      <c r="B34" s="113"/>
      <c r="C34" s="69"/>
      <c r="D34" s="69"/>
      <c r="E34" s="70"/>
      <c r="F34" s="69"/>
    </row>
    <row r="35" spans="2:6" x14ac:dyDescent="0.2">
      <c r="B35" s="69"/>
      <c r="C35" s="69"/>
      <c r="D35" s="69"/>
      <c r="E35" s="70"/>
      <c r="F35" s="69"/>
    </row>
    <row r="36" spans="2:6" x14ac:dyDescent="0.2">
      <c r="B36" s="69"/>
      <c r="C36" s="69"/>
      <c r="D36" s="69"/>
      <c r="E36" s="70"/>
      <c r="F36" s="69"/>
    </row>
    <row r="37" spans="2:6" ht="15" x14ac:dyDescent="0.2">
      <c r="B37" s="59" t="s">
        <v>159</v>
      </c>
      <c r="C37" s="59"/>
      <c r="D37" s="69"/>
      <c r="E37" s="70"/>
      <c r="F37" s="69"/>
    </row>
    <row r="38" spans="2:6" x14ac:dyDescent="0.2">
      <c r="B38" s="69"/>
      <c r="C38" s="69"/>
      <c r="D38" s="69"/>
      <c r="E38" s="70"/>
      <c r="F38" s="69"/>
    </row>
    <row r="39" spans="2:6" x14ac:dyDescent="0.2">
      <c r="B39" s="69" t="s">
        <v>212</v>
      </c>
      <c r="C39" s="69"/>
      <c r="D39" s="69"/>
      <c r="E39" s="70"/>
      <c r="F39" s="69"/>
    </row>
    <row r="40" spans="2:6" ht="13.5" thickBot="1" x14ac:dyDescent="0.25">
      <c r="B40" s="69"/>
      <c r="C40" s="69"/>
      <c r="D40" s="69"/>
      <c r="E40" s="70"/>
      <c r="F40" s="69"/>
    </row>
    <row r="41" spans="2:6" ht="24.75" customHeight="1" x14ac:dyDescent="0.2">
      <c r="B41" s="216" t="s">
        <v>12</v>
      </c>
      <c r="C41" s="214" t="s">
        <v>146</v>
      </c>
      <c r="D41" s="83" t="s">
        <v>16</v>
      </c>
      <c r="E41" s="73" t="s">
        <v>17</v>
      </c>
      <c r="F41" s="69"/>
    </row>
    <row r="42" spans="2:6" ht="24.75" customHeight="1" x14ac:dyDescent="0.2">
      <c r="B42" s="217"/>
      <c r="C42" s="215"/>
      <c r="D42" s="21" t="s">
        <v>24</v>
      </c>
      <c r="E42" s="111" t="s">
        <v>152</v>
      </c>
      <c r="F42" s="69"/>
    </row>
    <row r="43" spans="2:6" x14ac:dyDescent="0.2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x14ac:dyDescent="0.2">
      <c r="B44" s="71" t="s">
        <v>145</v>
      </c>
      <c r="C44" s="69"/>
      <c r="D44" s="69"/>
      <c r="E44" s="69"/>
      <c r="F44" s="69"/>
    </row>
    <row r="45" spans="2:6" x14ac:dyDescent="0.2">
      <c r="B45" s="113" t="s">
        <v>11</v>
      </c>
      <c r="C45" s="69"/>
      <c r="D45" s="69"/>
      <c r="E45" s="69"/>
      <c r="F45" s="69"/>
    </row>
    <row r="46" spans="2:6" x14ac:dyDescent="0.2">
      <c r="B46" s="113" t="s">
        <v>160</v>
      </c>
    </row>
    <row r="48" spans="2:6" x14ac:dyDescent="0.2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Normal="100" workbookViewId="0">
      <selection activeCell="T32" sqref="T32"/>
    </sheetView>
  </sheetViews>
  <sheetFormatPr defaultRowHeight="12.75" x14ac:dyDescent="0.2"/>
  <cols>
    <col min="1" max="1" width="3" customWidth="1"/>
    <col min="2" max="2" width="14.5703125" customWidth="1"/>
    <col min="3" max="3" width="17.140625" customWidth="1"/>
    <col min="4" max="4" width="42.5703125" customWidth="1"/>
    <col min="5" max="5" width="9.28515625" customWidth="1"/>
    <col min="6" max="6" width="13.42578125" customWidth="1"/>
    <col min="7" max="7" width="11" customWidth="1"/>
    <col min="8" max="8" width="14" customWidth="1"/>
    <col min="9" max="9" width="13.42578125" customWidth="1"/>
    <col min="10" max="10" width="10.42578125" customWidth="1"/>
    <col min="11" max="12" width="10.5703125" bestFit="1" customWidth="1"/>
  </cols>
  <sheetData>
    <row r="2" spans="2:9" ht="18" x14ac:dyDescent="0.2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2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2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2">
      <c r="B5" s="106" t="s">
        <v>21</v>
      </c>
      <c r="C5" s="106" t="s">
        <v>22</v>
      </c>
      <c r="D5" s="106" t="s">
        <v>23</v>
      </c>
      <c r="E5" s="106" t="s">
        <v>24</v>
      </c>
      <c r="F5" s="176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25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2">
      <c r="B7" s="119" t="s">
        <v>36</v>
      </c>
      <c r="C7" s="119" t="s">
        <v>153</v>
      </c>
      <c r="D7" s="119" t="s">
        <v>37</v>
      </c>
      <c r="E7" s="119" t="s">
        <v>38</v>
      </c>
      <c r="F7" s="119"/>
      <c r="G7" s="119" t="s">
        <v>39</v>
      </c>
      <c r="H7" s="119" t="s">
        <v>40</v>
      </c>
      <c r="I7" s="119" t="s">
        <v>41</v>
      </c>
    </row>
    <row r="8" spans="2:9" ht="18.75" customHeight="1" x14ac:dyDescent="0.2">
      <c r="B8" s="126" t="s">
        <v>36</v>
      </c>
      <c r="C8" s="126" t="s">
        <v>275</v>
      </c>
      <c r="D8" s="126" t="s">
        <v>276</v>
      </c>
      <c r="E8" s="126" t="s">
        <v>38</v>
      </c>
      <c r="F8" s="126"/>
      <c r="G8" s="126" t="s">
        <v>39</v>
      </c>
      <c r="H8" s="126" t="s">
        <v>40</v>
      </c>
      <c r="I8" s="126" t="s">
        <v>41</v>
      </c>
    </row>
    <row r="9" spans="2:9" ht="18.75" customHeight="1" x14ac:dyDescent="0.2">
      <c r="B9" s="128" t="s">
        <v>36</v>
      </c>
      <c r="C9" s="128" t="s">
        <v>154</v>
      </c>
      <c r="D9" s="128" t="s">
        <v>42</v>
      </c>
      <c r="E9" s="128" t="s">
        <v>38</v>
      </c>
      <c r="F9" s="128"/>
      <c r="G9" s="128" t="s">
        <v>39</v>
      </c>
      <c r="H9" s="128"/>
      <c r="I9" s="128" t="s">
        <v>41</v>
      </c>
    </row>
    <row r="10" spans="2:9" ht="18.75" customHeight="1" x14ac:dyDescent="0.2">
      <c r="B10" s="126" t="s">
        <v>36</v>
      </c>
      <c r="C10" s="126" t="s">
        <v>308</v>
      </c>
      <c r="D10" s="126" t="s">
        <v>322</v>
      </c>
      <c r="E10" s="126" t="s">
        <v>38</v>
      </c>
      <c r="F10" s="126"/>
      <c r="G10" s="126" t="s">
        <v>39</v>
      </c>
      <c r="H10" s="126"/>
      <c r="I10" s="126" t="s">
        <v>41</v>
      </c>
    </row>
    <row r="11" spans="2:9" ht="18.75" customHeight="1" x14ac:dyDescent="0.2">
      <c r="B11" s="128" t="s">
        <v>36</v>
      </c>
      <c r="C11" s="128" t="s">
        <v>306</v>
      </c>
      <c r="D11" s="128" t="s">
        <v>307</v>
      </c>
      <c r="E11" s="128" t="s">
        <v>38</v>
      </c>
      <c r="F11" s="128"/>
      <c r="G11" s="128" t="s">
        <v>39</v>
      </c>
      <c r="H11" s="128"/>
      <c r="I11" s="128" t="s">
        <v>41</v>
      </c>
    </row>
    <row r="12" spans="2:9" ht="18.75" customHeight="1" x14ac:dyDescent="0.2">
      <c r="B12" s="126" t="s">
        <v>36</v>
      </c>
      <c r="C12" s="126" t="s">
        <v>290</v>
      </c>
      <c r="D12" s="126" t="s">
        <v>291</v>
      </c>
      <c r="E12" s="126" t="s">
        <v>38</v>
      </c>
      <c r="F12" s="126"/>
      <c r="G12" s="126" t="s">
        <v>39</v>
      </c>
      <c r="H12" s="126"/>
      <c r="I12" s="126" t="s">
        <v>41</v>
      </c>
    </row>
    <row r="13" spans="2:9" ht="18.75" customHeight="1" x14ac:dyDescent="0.2">
      <c r="B13" s="187" t="s">
        <v>44</v>
      </c>
      <c r="C13" s="187" t="s">
        <v>45</v>
      </c>
      <c r="D13" s="187" t="s">
        <v>46</v>
      </c>
      <c r="E13" s="187" t="s">
        <v>47</v>
      </c>
      <c r="F13" s="187"/>
      <c r="G13" s="187"/>
      <c r="H13" s="187" t="s">
        <v>40</v>
      </c>
      <c r="I13" s="187"/>
    </row>
    <row r="14" spans="2:9" ht="18.75" customHeight="1" x14ac:dyDescent="0.2">
      <c r="B14" s="126" t="s">
        <v>239</v>
      </c>
      <c r="C14" s="126"/>
      <c r="D14" s="126"/>
      <c r="E14" s="126"/>
      <c r="F14" s="126"/>
      <c r="G14" s="126"/>
      <c r="H14" s="126"/>
      <c r="I14" s="126"/>
    </row>
    <row r="15" spans="2:9" x14ac:dyDescent="0.2">
      <c r="I15" s="45"/>
    </row>
    <row r="17" spans="2:9" ht="18" x14ac:dyDescent="0.2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2">
      <c r="D18" s="24"/>
      <c r="E18" s="24"/>
      <c r="F18" s="24"/>
      <c r="G18" s="24"/>
      <c r="H18" s="24"/>
      <c r="I18" s="24"/>
    </row>
    <row r="19" spans="2:9" x14ac:dyDescent="0.2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x14ac:dyDescent="0.2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2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2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2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2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2">
      <c r="B25" s="185" t="s">
        <v>36</v>
      </c>
      <c r="C25" s="42" t="s">
        <v>297</v>
      </c>
      <c r="D25" s="185" t="s">
        <v>312</v>
      </c>
      <c r="E25" s="186" t="s">
        <v>38</v>
      </c>
      <c r="F25" s="44"/>
      <c r="G25" s="44"/>
      <c r="H25" s="44"/>
      <c r="I25" s="44"/>
    </row>
    <row r="26" spans="2:9" x14ac:dyDescent="0.2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2">
      <c r="B27" s="185" t="s">
        <v>36</v>
      </c>
      <c r="C27" s="42" t="s">
        <v>302</v>
      </c>
      <c r="D27" s="185" t="s">
        <v>333</v>
      </c>
      <c r="E27" s="186" t="s">
        <v>38</v>
      </c>
      <c r="F27" s="44"/>
      <c r="G27" s="44"/>
      <c r="H27" s="44"/>
      <c r="I27" s="44"/>
    </row>
    <row r="28" spans="2:9" x14ac:dyDescent="0.2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2">
      <c r="B29" s="185" t="s">
        <v>36</v>
      </c>
      <c r="C29" s="42" t="s">
        <v>325</v>
      </c>
      <c r="D29" s="42" t="s">
        <v>334</v>
      </c>
      <c r="E29" s="186" t="s">
        <v>38</v>
      </c>
      <c r="F29" s="44"/>
      <c r="G29" s="44"/>
      <c r="H29" s="44"/>
      <c r="I29" s="44"/>
    </row>
    <row r="30" spans="2:9" x14ac:dyDescent="0.2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2">
      <c r="B31" s="185" t="s">
        <v>36</v>
      </c>
      <c r="C31" s="42" t="s">
        <v>315</v>
      </c>
      <c r="D31" s="42" t="s">
        <v>315</v>
      </c>
      <c r="E31" s="186" t="s">
        <v>38</v>
      </c>
      <c r="F31" s="44"/>
      <c r="G31" s="44"/>
      <c r="H31" s="44"/>
      <c r="I31" s="44"/>
    </row>
    <row r="32" spans="2:9" x14ac:dyDescent="0.2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2">
      <c r="B33" s="185" t="s">
        <v>36</v>
      </c>
      <c r="C33" s="42" t="s">
        <v>328</v>
      </c>
      <c r="D33" s="185" t="s">
        <v>336</v>
      </c>
      <c r="E33" s="186" t="s">
        <v>38</v>
      </c>
      <c r="F33" s="44"/>
      <c r="G33" s="44"/>
      <c r="H33" s="44"/>
      <c r="I33" s="44"/>
    </row>
    <row r="34" spans="2:9" x14ac:dyDescent="0.2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2">
      <c r="B35" s="185" t="s">
        <v>36</v>
      </c>
      <c r="C35" s="42" t="s">
        <v>178</v>
      </c>
      <c r="D35" s="185" t="s">
        <v>179</v>
      </c>
      <c r="E35" s="186" t="s">
        <v>38</v>
      </c>
      <c r="F35" s="44"/>
      <c r="G35" s="44"/>
      <c r="H35" s="44"/>
      <c r="I35" s="44"/>
    </row>
    <row r="36" spans="2:9" x14ac:dyDescent="0.2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2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2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2">
      <c r="B39" s="49" t="s">
        <v>36</v>
      </c>
      <c r="C39" s="114" t="s">
        <v>339</v>
      </c>
      <c r="D39" s="49" t="s">
        <v>339</v>
      </c>
      <c r="E39" s="123" t="s">
        <v>38</v>
      </c>
      <c r="F39" s="48"/>
      <c r="G39" s="48"/>
      <c r="H39" s="48"/>
      <c r="I39" s="48"/>
    </row>
    <row r="40" spans="2:9" x14ac:dyDescent="0.2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2">
      <c r="B41" s="49" t="s">
        <v>36</v>
      </c>
      <c r="C41" s="114" t="s">
        <v>340</v>
      </c>
      <c r="D41" s="49" t="s">
        <v>341</v>
      </c>
      <c r="E41" s="123" t="s">
        <v>38</v>
      </c>
      <c r="F41" s="48"/>
      <c r="G41" s="48"/>
      <c r="H41" s="48"/>
      <c r="I41" s="48"/>
    </row>
    <row r="42" spans="2:9" x14ac:dyDescent="0.2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5" thickBot="1" x14ac:dyDescent="0.25">
      <c r="B43" s="196" t="s">
        <v>36</v>
      </c>
      <c r="C43" s="197" t="s">
        <v>223</v>
      </c>
      <c r="D43" s="196" t="s">
        <v>223</v>
      </c>
      <c r="E43" s="198" t="s">
        <v>38</v>
      </c>
      <c r="F43" s="199"/>
      <c r="G43" s="199"/>
      <c r="H43" s="199"/>
      <c r="I43" s="199"/>
    </row>
    <row r="47" spans="2:9" ht="13.5" thickBot="1" x14ac:dyDescent="0.25">
      <c r="B47" s="224" t="s">
        <v>48</v>
      </c>
      <c r="C47" s="224"/>
    </row>
    <row r="48" spans="2:9" x14ac:dyDescent="0.2">
      <c r="B48" s="99" t="s">
        <v>36</v>
      </c>
      <c r="C48" s="99" t="s">
        <v>49</v>
      </c>
    </row>
    <row r="49" spans="2:3" x14ac:dyDescent="0.2">
      <c r="B49" s="9" t="s">
        <v>44</v>
      </c>
      <c r="C49" s="9" t="s">
        <v>50</v>
      </c>
    </row>
    <row r="50" spans="2:3" x14ac:dyDescent="0.2">
      <c r="B50" s="7" t="s">
        <v>43</v>
      </c>
      <c r="C50" s="7" t="s">
        <v>51</v>
      </c>
    </row>
    <row r="51" spans="2:3" x14ac:dyDescent="0.2">
      <c r="B51" s="9" t="s">
        <v>52</v>
      </c>
      <c r="C51" s="9" t="s">
        <v>53</v>
      </c>
    </row>
    <row r="52" spans="2:3" ht="13.5" thickBot="1" x14ac:dyDescent="0.25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2"/>
  <cols>
    <col min="1" max="1" width="1.42578125" customWidth="1"/>
    <col min="2" max="2" width="16" customWidth="1"/>
    <col min="3" max="3" width="16.28515625" customWidth="1"/>
    <col min="4" max="4" width="38.140625" customWidth="1"/>
    <col min="5" max="5" width="58" customWidth="1"/>
    <col min="6" max="10" width="21.85546875" customWidth="1"/>
    <col min="12" max="12" width="13.5703125" customWidth="1"/>
  </cols>
  <sheetData>
    <row r="1" spans="1:10" ht="12.75" customHeight="1" x14ac:dyDescent="0.2">
      <c r="B1" s="103"/>
      <c r="C1" s="51"/>
      <c r="D1" s="51"/>
    </row>
    <row r="2" spans="1:10" ht="18.75" customHeight="1" x14ac:dyDescent="0.2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2"/>
    <row r="4" spans="1:10" ht="18" customHeight="1" x14ac:dyDescent="0.2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2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25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2">
      <c r="B7" s="200" t="s">
        <v>239</v>
      </c>
      <c r="C7" s="121" t="s">
        <v>193</v>
      </c>
      <c r="D7" s="121" t="s">
        <v>281</v>
      </c>
      <c r="E7" s="121" t="s">
        <v>283</v>
      </c>
      <c r="F7" s="121" t="s">
        <v>38</v>
      </c>
      <c r="G7" s="121" t="s">
        <v>77</v>
      </c>
      <c r="H7" s="121" t="s">
        <v>40</v>
      </c>
      <c r="I7" s="121"/>
      <c r="J7" s="121"/>
    </row>
    <row r="8" spans="1:10" ht="18.75" customHeight="1" x14ac:dyDescent="0.2">
      <c r="B8" s="66" t="s">
        <v>239</v>
      </c>
      <c r="C8" s="127" t="s">
        <v>193</v>
      </c>
      <c r="D8" s="127" t="s">
        <v>280</v>
      </c>
      <c r="E8" s="127" t="s">
        <v>282</v>
      </c>
      <c r="F8" s="127" t="s">
        <v>38</v>
      </c>
      <c r="G8" s="127" t="s">
        <v>77</v>
      </c>
      <c r="H8" s="127" t="s">
        <v>40</v>
      </c>
      <c r="I8" s="127"/>
      <c r="J8" s="127"/>
    </row>
    <row r="9" spans="1:10" ht="18.75" customHeight="1" x14ac:dyDescent="0.2">
      <c r="B9" s="49" t="s">
        <v>239</v>
      </c>
      <c r="C9" s="129" t="s">
        <v>193</v>
      </c>
      <c r="D9" s="129" t="s">
        <v>284</v>
      </c>
      <c r="E9" s="128" t="s">
        <v>287</v>
      </c>
      <c r="F9" s="129" t="s">
        <v>38</v>
      </c>
      <c r="G9" s="129" t="s">
        <v>77</v>
      </c>
      <c r="H9" s="129" t="s">
        <v>40</v>
      </c>
      <c r="I9" s="129"/>
      <c r="J9" s="129"/>
    </row>
    <row r="10" spans="1:10" ht="18.75" customHeight="1" x14ac:dyDescent="0.2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2">
      <c r="B11" s="120" t="s">
        <v>75</v>
      </c>
      <c r="C11" s="122" t="s">
        <v>193</v>
      </c>
      <c r="D11" s="122" t="s">
        <v>155</v>
      </c>
      <c r="E11" s="122" t="s">
        <v>76</v>
      </c>
      <c r="F11" s="122" t="s">
        <v>38</v>
      </c>
      <c r="G11" s="122" t="s">
        <v>77</v>
      </c>
      <c r="H11" s="122" t="s">
        <v>39</v>
      </c>
      <c r="I11" s="122"/>
      <c r="J11" s="122"/>
    </row>
    <row r="12" spans="1:10" ht="18.75" customHeight="1" x14ac:dyDescent="0.2">
      <c r="B12" s="126" t="s">
        <v>75</v>
      </c>
      <c r="C12" s="127" t="s">
        <v>193</v>
      </c>
      <c r="D12" s="127" t="s">
        <v>285</v>
      </c>
      <c r="E12" s="127" t="s">
        <v>286</v>
      </c>
      <c r="F12" s="127" t="s">
        <v>38</v>
      </c>
      <c r="G12" s="127" t="s">
        <v>77</v>
      </c>
      <c r="H12" s="127" t="s">
        <v>39</v>
      </c>
      <c r="I12" s="127"/>
      <c r="J12" s="127"/>
    </row>
    <row r="13" spans="1:10" ht="18.75" customHeight="1" x14ac:dyDescent="0.2">
      <c r="B13" s="120" t="s">
        <v>75</v>
      </c>
      <c r="C13" s="122" t="s">
        <v>193</v>
      </c>
      <c r="D13" s="122" t="s">
        <v>344</v>
      </c>
      <c r="E13" s="122" t="s">
        <v>345</v>
      </c>
      <c r="F13" s="122" t="s">
        <v>38</v>
      </c>
      <c r="G13" s="122" t="s">
        <v>77</v>
      </c>
      <c r="H13" s="122" t="s">
        <v>39</v>
      </c>
      <c r="I13" s="122"/>
      <c r="J13" s="122"/>
    </row>
    <row r="14" spans="1:10" ht="18.75" customHeight="1" x14ac:dyDescent="0.2">
      <c r="B14" s="126" t="s">
        <v>75</v>
      </c>
      <c r="C14" s="127" t="s">
        <v>193</v>
      </c>
      <c r="D14" s="127" t="s">
        <v>156</v>
      </c>
      <c r="E14" s="127" t="s">
        <v>346</v>
      </c>
      <c r="F14" s="127" t="s">
        <v>38</v>
      </c>
      <c r="G14" s="127" t="s">
        <v>77</v>
      </c>
      <c r="H14" s="127" t="s">
        <v>39</v>
      </c>
      <c r="I14" s="127"/>
      <c r="J14" s="127"/>
    </row>
    <row r="15" spans="1:10" ht="18.75" customHeight="1" x14ac:dyDescent="0.2">
      <c r="B15" s="120" t="s">
        <v>75</v>
      </c>
      <c r="C15" s="122" t="s">
        <v>193</v>
      </c>
      <c r="D15" s="122" t="s">
        <v>157</v>
      </c>
      <c r="E15" s="122" t="s">
        <v>78</v>
      </c>
      <c r="F15" s="122" t="s">
        <v>38</v>
      </c>
      <c r="G15" s="122" t="s">
        <v>77</v>
      </c>
      <c r="H15" s="122" t="s">
        <v>39</v>
      </c>
      <c r="I15" s="122"/>
      <c r="J15" s="122"/>
    </row>
    <row r="16" spans="1:10" ht="18.75" customHeight="1" x14ac:dyDescent="0.2">
      <c r="B16" s="126" t="s">
        <v>75</v>
      </c>
      <c r="C16" s="127" t="s">
        <v>193</v>
      </c>
      <c r="D16" s="127" t="s">
        <v>194</v>
      </c>
      <c r="E16" s="127" t="s">
        <v>195</v>
      </c>
      <c r="F16" s="127" t="s">
        <v>38</v>
      </c>
      <c r="G16" s="127" t="s">
        <v>77</v>
      </c>
      <c r="H16" s="127" t="s">
        <v>39</v>
      </c>
      <c r="I16" s="127"/>
      <c r="J16" s="127"/>
    </row>
    <row r="17" spans="1:10" ht="18.75" customHeight="1" x14ac:dyDescent="0.2">
      <c r="B17" s="120" t="s">
        <v>75</v>
      </c>
      <c r="C17" s="122" t="s">
        <v>193</v>
      </c>
      <c r="D17" s="122" t="s">
        <v>196</v>
      </c>
      <c r="E17" s="122" t="s">
        <v>197</v>
      </c>
      <c r="F17" s="122" t="s">
        <v>38</v>
      </c>
      <c r="G17" s="122" t="s">
        <v>77</v>
      </c>
      <c r="H17" s="122" t="s">
        <v>39</v>
      </c>
      <c r="I17" s="122"/>
      <c r="J17" s="122"/>
    </row>
    <row r="18" spans="1:10" ht="18.75" customHeight="1" x14ac:dyDescent="0.2">
      <c r="B18" s="126" t="s">
        <v>75</v>
      </c>
      <c r="C18" s="127" t="s">
        <v>193</v>
      </c>
      <c r="D18" s="127" t="s">
        <v>198</v>
      </c>
      <c r="E18" s="127" t="s">
        <v>199</v>
      </c>
      <c r="F18" s="127" t="s">
        <v>38</v>
      </c>
      <c r="G18" s="127" t="s">
        <v>77</v>
      </c>
      <c r="H18" s="127" t="s">
        <v>39</v>
      </c>
      <c r="I18" s="127"/>
      <c r="J18" s="127"/>
    </row>
    <row r="19" spans="1:10" ht="18.75" customHeight="1" x14ac:dyDescent="0.2">
      <c r="B19" s="128" t="s">
        <v>75</v>
      </c>
      <c r="C19" s="129" t="s">
        <v>193</v>
      </c>
      <c r="D19" s="129" t="s">
        <v>200</v>
      </c>
      <c r="E19" s="129" t="s">
        <v>201</v>
      </c>
      <c r="F19" s="129" t="s">
        <v>38</v>
      </c>
      <c r="G19" s="129" t="s">
        <v>77</v>
      </c>
      <c r="H19" s="129" t="s">
        <v>39</v>
      </c>
      <c r="I19" s="129"/>
      <c r="J19" s="129"/>
    </row>
    <row r="20" spans="1:10" ht="18.75" customHeight="1" x14ac:dyDescent="0.2">
      <c r="B20" s="126" t="s">
        <v>246</v>
      </c>
      <c r="C20" s="127" t="s">
        <v>193</v>
      </c>
      <c r="D20" s="127" t="s">
        <v>260</v>
      </c>
      <c r="E20" s="127" t="s">
        <v>247</v>
      </c>
      <c r="F20" s="127" t="s">
        <v>38</v>
      </c>
      <c r="G20" s="127" t="s">
        <v>77</v>
      </c>
      <c r="H20" s="127" t="s">
        <v>39</v>
      </c>
      <c r="I20" s="127"/>
      <c r="J20" s="127"/>
    </row>
    <row r="21" spans="1:10" ht="18.75" customHeight="1" x14ac:dyDescent="0.2">
      <c r="B21" s="128" t="s">
        <v>75</v>
      </c>
      <c r="C21" s="129" t="s">
        <v>193</v>
      </c>
      <c r="D21" s="129" t="s">
        <v>221</v>
      </c>
      <c r="E21" s="129" t="s">
        <v>222</v>
      </c>
      <c r="F21" s="129" t="s">
        <v>38</v>
      </c>
      <c r="G21" s="129" t="s">
        <v>77</v>
      </c>
      <c r="H21" s="129" t="s">
        <v>39</v>
      </c>
      <c r="I21" s="129"/>
      <c r="J21" s="129"/>
    </row>
    <row r="22" spans="1:10" ht="18.75" customHeight="1" x14ac:dyDescent="0.2">
      <c r="B22" s="126" t="s">
        <v>90</v>
      </c>
      <c r="C22" s="127" t="s">
        <v>193</v>
      </c>
      <c r="D22" s="127" t="s">
        <v>256</v>
      </c>
      <c r="E22" s="127" t="s">
        <v>257</v>
      </c>
      <c r="F22" s="127" t="s">
        <v>38</v>
      </c>
      <c r="G22" s="127" t="s">
        <v>77</v>
      </c>
      <c r="H22" s="127" t="s">
        <v>40</v>
      </c>
      <c r="I22" s="127"/>
      <c r="J22" s="127"/>
    </row>
    <row r="23" spans="1:10" ht="18.75" customHeight="1" x14ac:dyDescent="0.2">
      <c r="B23" s="128" t="s">
        <v>93</v>
      </c>
      <c r="C23" s="129" t="s">
        <v>193</v>
      </c>
      <c r="D23" s="129" t="s">
        <v>261</v>
      </c>
      <c r="E23" s="129" t="s">
        <v>262</v>
      </c>
      <c r="F23" s="129" t="s">
        <v>38</v>
      </c>
      <c r="G23" s="129" t="s">
        <v>77</v>
      </c>
      <c r="H23" s="129" t="s">
        <v>40</v>
      </c>
      <c r="I23" s="129"/>
      <c r="J23" s="129"/>
    </row>
    <row r="24" spans="1:10" ht="18.75" customHeight="1" x14ac:dyDescent="0.2">
      <c r="A24" s="62"/>
      <c r="B24" s="126" t="s">
        <v>81</v>
      </c>
      <c r="C24" s="127" t="s">
        <v>193</v>
      </c>
      <c r="D24" s="127" t="s">
        <v>271</v>
      </c>
      <c r="E24" s="127" t="s">
        <v>272</v>
      </c>
      <c r="F24" s="127" t="s">
        <v>38</v>
      </c>
      <c r="G24" s="127" t="s">
        <v>77</v>
      </c>
      <c r="H24" s="127" t="s">
        <v>39</v>
      </c>
      <c r="I24" s="127"/>
      <c r="J24" s="127"/>
    </row>
    <row r="25" spans="1:10" ht="18.75" customHeight="1" x14ac:dyDescent="0.2">
      <c r="A25" s="62"/>
      <c r="B25" s="128" t="s">
        <v>81</v>
      </c>
      <c r="C25" s="129" t="s">
        <v>193</v>
      </c>
      <c r="D25" s="129" t="s">
        <v>273</v>
      </c>
      <c r="E25" s="129" t="s">
        <v>274</v>
      </c>
      <c r="F25" s="129" t="s">
        <v>38</v>
      </c>
      <c r="G25" s="129" t="s">
        <v>77</v>
      </c>
      <c r="H25" s="129" t="s">
        <v>39</v>
      </c>
      <c r="I25" s="129"/>
      <c r="J25" s="129"/>
    </row>
    <row r="26" spans="1:10" ht="18.75" customHeight="1" x14ac:dyDescent="0.2">
      <c r="A26" s="61"/>
      <c r="B26" s="128" t="s">
        <v>81</v>
      </c>
      <c r="C26" s="129" t="s">
        <v>193</v>
      </c>
      <c r="D26" s="129" t="s">
        <v>289</v>
      </c>
      <c r="E26" s="129" t="s">
        <v>288</v>
      </c>
      <c r="F26" s="129" t="s">
        <v>38</v>
      </c>
      <c r="G26" s="129" t="s">
        <v>77</v>
      </c>
      <c r="H26" s="129" t="s">
        <v>39</v>
      </c>
      <c r="I26" s="129"/>
      <c r="J26" s="129"/>
    </row>
    <row r="27" spans="1:10" ht="18.75" customHeight="1" x14ac:dyDescent="0.2">
      <c r="A27" s="62"/>
      <c r="B27" s="126" t="s">
        <v>81</v>
      </c>
      <c r="C27" s="127" t="s">
        <v>193</v>
      </c>
      <c r="D27" s="127" t="s">
        <v>292</v>
      </c>
      <c r="E27" s="127" t="s">
        <v>293</v>
      </c>
      <c r="F27" s="127" t="s">
        <v>38</v>
      </c>
      <c r="G27" s="127" t="s">
        <v>266</v>
      </c>
      <c r="H27" s="127" t="s">
        <v>40</v>
      </c>
      <c r="I27" s="127"/>
      <c r="J27" s="127"/>
    </row>
    <row r="28" spans="1:10" ht="18.75" customHeight="1" x14ac:dyDescent="0.2">
      <c r="A28" s="62"/>
      <c r="B28" s="128"/>
      <c r="C28" s="129"/>
      <c r="D28" s="129"/>
      <c r="E28" s="129"/>
      <c r="F28" s="129"/>
      <c r="G28" s="129"/>
      <c r="H28" s="129"/>
      <c r="I28" s="129"/>
      <c r="J28" s="129"/>
    </row>
    <row r="29" spans="1:10" ht="18.95" customHeight="1" x14ac:dyDescent="0.2">
      <c r="I29" s="129"/>
      <c r="J29" s="129"/>
    </row>
    <row r="31" spans="1:10" x14ac:dyDescent="0.2">
      <c r="B31" s="225" t="s">
        <v>82</v>
      </c>
      <c r="C31" s="225"/>
      <c r="D31" s="225"/>
    </row>
    <row r="32" spans="1:10" x14ac:dyDescent="0.2">
      <c r="B32" s="7" t="s">
        <v>75</v>
      </c>
      <c r="C32" s="7" t="s">
        <v>83</v>
      </c>
      <c r="D32" s="7"/>
    </row>
    <row r="33" spans="2:6" x14ac:dyDescent="0.2">
      <c r="B33" s="9" t="s">
        <v>79</v>
      </c>
      <c r="C33" s="9" t="s">
        <v>84</v>
      </c>
      <c r="D33" s="9"/>
    </row>
    <row r="34" spans="2:6" x14ac:dyDescent="0.2">
      <c r="B34" s="7" t="s">
        <v>85</v>
      </c>
      <c r="C34" s="7" t="s">
        <v>86</v>
      </c>
      <c r="D34" s="7"/>
    </row>
    <row r="35" spans="2:6" x14ac:dyDescent="0.2">
      <c r="B35" s="9" t="s">
        <v>81</v>
      </c>
      <c r="C35" s="9" t="s">
        <v>87</v>
      </c>
      <c r="D35" s="9"/>
    </row>
    <row r="36" spans="2:6" x14ac:dyDescent="0.2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2">
      <c r="B37" s="9" t="s">
        <v>90</v>
      </c>
      <c r="C37" s="9" t="s">
        <v>91</v>
      </c>
      <c r="D37" s="9" t="s">
        <v>92</v>
      </c>
    </row>
    <row r="38" spans="2:6" x14ac:dyDescent="0.2">
      <c r="B38" s="7" t="s">
        <v>93</v>
      </c>
      <c r="C38" s="7" t="s">
        <v>94</v>
      </c>
      <c r="D38" s="7" t="s">
        <v>95</v>
      </c>
    </row>
    <row r="39" spans="2:6" x14ac:dyDescent="0.2">
      <c r="B39" s="9" t="s">
        <v>96</v>
      </c>
      <c r="C39" s="9" t="s">
        <v>97</v>
      </c>
      <c r="D39" s="9" t="s">
        <v>92</v>
      </c>
    </row>
    <row r="40" spans="2:6" ht="13.5" thickBot="1" x14ac:dyDescent="0.25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2"/>
  <cols>
    <col min="2" max="2" width="17.85546875" customWidth="1"/>
    <col min="3" max="3" width="15.85546875" customWidth="1"/>
    <col min="4" max="4" width="19.28515625" customWidth="1"/>
    <col min="5" max="5" width="20.5703125" customWidth="1"/>
    <col min="6" max="7" width="10.7109375" customWidth="1"/>
    <col min="9" max="9" width="9.28515625" customWidth="1"/>
    <col min="15" max="15" width="12.140625" customWidth="1"/>
    <col min="21" max="21" width="13.140625" customWidth="1"/>
  </cols>
  <sheetData>
    <row r="2" spans="2:18" x14ac:dyDescent="0.2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38.25" x14ac:dyDescent="0.2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63.75" x14ac:dyDescent="0.2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13" t="s">
        <v>300</v>
      </c>
      <c r="J4" s="213"/>
      <c r="K4" s="213"/>
      <c r="L4" s="213"/>
      <c r="M4" s="213"/>
      <c r="N4" s="213"/>
      <c r="O4" s="213"/>
      <c r="P4" s="19"/>
      <c r="Q4" s="19" t="s">
        <v>203</v>
      </c>
      <c r="R4" s="19" t="s">
        <v>208</v>
      </c>
    </row>
    <row r="5" spans="2:18" x14ac:dyDescent="0.2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3">
        <v>7.3</v>
      </c>
      <c r="R5" s="27">
        <v>13.59</v>
      </c>
    </row>
    <row r="6" spans="2:18" ht="13.5" thickBot="1" x14ac:dyDescent="0.25">
      <c r="B6" s="165"/>
      <c r="C6" s="61"/>
      <c r="D6" s="169"/>
      <c r="E6" s="183" t="s">
        <v>302</v>
      </c>
      <c r="F6" s="167">
        <f t="shared" ref="F6:F14" si="1">V36</f>
        <v>1.86</v>
      </c>
      <c r="G6" s="167">
        <v>0.04</v>
      </c>
      <c r="H6" s="170"/>
      <c r="I6" s="167"/>
      <c r="J6" s="167"/>
      <c r="K6" s="167"/>
      <c r="L6" s="167"/>
      <c r="M6" s="167"/>
      <c r="N6" s="167"/>
      <c r="O6" s="167"/>
      <c r="P6" s="171"/>
      <c r="Q6" s="172"/>
      <c r="R6" s="172"/>
    </row>
    <row r="7" spans="2:18" x14ac:dyDescent="0.2">
      <c r="B7" s="166"/>
      <c r="C7" s="24"/>
      <c r="D7" s="24"/>
      <c r="E7" s="184" t="s">
        <v>298</v>
      </c>
      <c r="F7" s="168">
        <f t="shared" si="1"/>
        <v>10.005000000000001</v>
      </c>
      <c r="G7" s="168">
        <v>0.23</v>
      </c>
    </row>
    <row r="8" spans="2:18" x14ac:dyDescent="0.2">
      <c r="B8" s="180"/>
      <c r="C8" s="61"/>
      <c r="D8" s="61"/>
      <c r="E8" s="183" t="s">
        <v>325</v>
      </c>
      <c r="F8" s="167">
        <f t="shared" si="1"/>
        <v>4.3</v>
      </c>
      <c r="G8" s="167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2">
      <c r="B9" s="166"/>
      <c r="C9" s="24"/>
      <c r="D9" s="24"/>
      <c r="E9" s="184" t="s">
        <v>297</v>
      </c>
      <c r="F9" s="168">
        <f t="shared" si="1"/>
        <v>15.479999999999999</v>
      </c>
      <c r="G9" s="168">
        <v>0.36</v>
      </c>
    </row>
    <row r="10" spans="2:18" x14ac:dyDescent="0.2">
      <c r="B10" s="62"/>
      <c r="C10" s="62"/>
      <c r="D10" s="62"/>
      <c r="E10" s="183" t="s">
        <v>303</v>
      </c>
      <c r="F10" s="167">
        <f t="shared" si="1"/>
        <v>2.4299999999999997</v>
      </c>
      <c r="G10" s="167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2">
      <c r="E11" s="184" t="s">
        <v>314</v>
      </c>
      <c r="F11" s="168">
        <f t="shared" si="1"/>
        <v>1.4525000000000001</v>
      </c>
      <c r="G11" s="168">
        <v>3.5000000000000003E-2</v>
      </c>
    </row>
    <row r="12" spans="2:18" x14ac:dyDescent="0.2">
      <c r="B12" s="62"/>
      <c r="C12" s="62"/>
      <c r="D12" s="62"/>
      <c r="E12" s="183" t="s">
        <v>315</v>
      </c>
      <c r="F12" s="167">
        <f t="shared" si="1"/>
        <v>1.9750000000000001</v>
      </c>
      <c r="G12" s="167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2">
      <c r="E13" s="184" t="s">
        <v>326</v>
      </c>
      <c r="F13" s="168">
        <f t="shared" si="1"/>
        <v>1.8800000000000001</v>
      </c>
      <c r="G13" s="168">
        <v>0.04</v>
      </c>
    </row>
    <row r="14" spans="2:18" x14ac:dyDescent="0.2">
      <c r="B14" s="62"/>
      <c r="C14" s="62"/>
      <c r="D14" s="62"/>
      <c r="E14" s="204" t="s">
        <v>204</v>
      </c>
      <c r="F14" s="167">
        <f t="shared" si="1"/>
        <v>2.4862500000000001</v>
      </c>
      <c r="G14" s="167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2">
      <c r="B15" s="164"/>
      <c r="C15" s="164"/>
      <c r="D15" s="164"/>
      <c r="E15" s="181" t="str">
        <f>SEC_Comm!C13</f>
        <v>CO2</v>
      </c>
      <c r="F15" s="182"/>
      <c r="G15" s="182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</row>
    <row r="32" spans="5:6" x14ac:dyDescent="0.2">
      <c r="E32">
        <v>13475000</v>
      </c>
      <c r="F32" t="s">
        <v>301</v>
      </c>
    </row>
    <row r="33" spans="5:22" x14ac:dyDescent="0.2">
      <c r="E33">
        <f>P36*E32/1000000</f>
        <v>564.17129999999997</v>
      </c>
    </row>
    <row r="34" spans="5:22" x14ac:dyDescent="0.2">
      <c r="K34" s="24"/>
      <c r="L34" s="168"/>
      <c r="M34" s="168"/>
      <c r="P34" t="s">
        <v>319</v>
      </c>
      <c r="Q34" s="24" t="s">
        <v>320</v>
      </c>
    </row>
    <row r="35" spans="5:22" x14ac:dyDescent="0.2">
      <c r="P35" t="s">
        <v>318</v>
      </c>
      <c r="Q35" t="s">
        <v>318</v>
      </c>
      <c r="T35" t="s">
        <v>38</v>
      </c>
    </row>
    <row r="36" spans="5:22" x14ac:dyDescent="0.2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2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2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2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2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2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2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2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2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2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2"/>
  <cols>
    <col min="1" max="1" width="3" customWidth="1"/>
    <col min="2" max="2" width="19.5703125" customWidth="1"/>
    <col min="3" max="3" width="44.28515625" customWidth="1"/>
    <col min="4" max="4" width="10.28515625" customWidth="1"/>
    <col min="5" max="5" width="10.5703125" customWidth="1"/>
    <col min="6" max="6" width="11" customWidth="1"/>
    <col min="7" max="7" width="25.140625" customWidth="1"/>
    <col min="8" max="8" width="7.5703125" customWidth="1"/>
    <col min="9" max="9" width="11" customWidth="1"/>
    <col min="10" max="10" width="15.42578125" customWidth="1"/>
    <col min="11" max="14" width="7.5703125" customWidth="1"/>
    <col min="15" max="15" width="16" customWidth="1"/>
    <col min="16" max="16" width="11" customWidth="1"/>
    <col min="17" max="17" width="15" customWidth="1"/>
    <col min="18" max="18" width="13" customWidth="1"/>
    <col min="19" max="19" width="18" customWidth="1"/>
    <col min="20" max="20" width="15" customWidth="1"/>
    <col min="21" max="21" width="15.28515625" customWidth="1"/>
    <col min="24" max="24" width="12.5703125" bestFit="1" customWidth="1"/>
  </cols>
  <sheetData>
    <row r="2" spans="2:30" ht="16.5" customHeight="1" x14ac:dyDescent="0.25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x14ac:dyDescent="0.2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9" customHeight="1" x14ac:dyDescent="0.2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5" customHeight="1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2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25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2">
        <v>61</v>
      </c>
      <c r="S8" s="142">
        <v>1.1100000000000001</v>
      </c>
    </row>
    <row r="12" spans="2:30" ht="15.75" x14ac:dyDescent="0.25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2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2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2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9" customHeight="1" thickBot="1" x14ac:dyDescent="0.25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2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2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2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2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2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2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2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2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2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2">
      <c r="B26" s="133"/>
      <c r="C26" s="133"/>
      <c r="D26" s="133"/>
      <c r="E26" s="133" t="str">
        <f>SEC_Comm!C13</f>
        <v>CO2</v>
      </c>
      <c r="F26" s="133"/>
      <c r="G26" s="133"/>
      <c r="H26" s="133"/>
      <c r="I26" s="133"/>
      <c r="J26" s="139"/>
      <c r="K26" s="133"/>
      <c r="L26" s="133"/>
      <c r="M26" s="133"/>
      <c r="N26" s="133"/>
      <c r="O26" s="133"/>
    </row>
    <row r="27" spans="2:15" ht="18.95" customHeight="1" x14ac:dyDescent="0.2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3">
        <v>1</v>
      </c>
      <c r="L27" s="7"/>
      <c r="M27" s="7">
        <v>0.87</v>
      </c>
      <c r="N27" s="143">
        <v>61</v>
      </c>
      <c r="O27" s="7">
        <v>1.1100000000000001</v>
      </c>
    </row>
    <row r="28" spans="2:15" ht="18.95" customHeight="1" x14ac:dyDescent="0.2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95" customHeight="1" x14ac:dyDescent="0.2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95" customHeight="1" x14ac:dyDescent="0.2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95" customHeight="1" x14ac:dyDescent="0.2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95" customHeight="1" x14ac:dyDescent="0.2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95" customHeight="1" x14ac:dyDescent="0.2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95" customHeight="1" x14ac:dyDescent="0.2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2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25">
      <c r="B36" s="177"/>
      <c r="C36" s="177"/>
      <c r="D36" s="177"/>
      <c r="E36" s="177" t="str">
        <f>SEC_Comm!C13</f>
        <v>CO2</v>
      </c>
      <c r="F36" s="177"/>
      <c r="G36" s="177"/>
      <c r="H36" s="177"/>
      <c r="I36" s="177"/>
      <c r="J36" s="178"/>
      <c r="K36" s="177"/>
      <c r="L36" s="177"/>
      <c r="M36" s="177"/>
      <c r="N36" s="177"/>
      <c r="O36" s="177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tabSelected="1" topLeftCell="C1" zoomScale="130" zoomScaleNormal="130" workbookViewId="0">
      <selection activeCell="H8" sqref="H8"/>
    </sheetView>
  </sheetViews>
  <sheetFormatPr defaultRowHeight="12.75" x14ac:dyDescent="0.2"/>
  <cols>
    <col min="1" max="1" width="3" customWidth="1"/>
    <col min="2" max="2" width="31.140625" customWidth="1"/>
    <col min="3" max="3" width="34.42578125" customWidth="1"/>
    <col min="4" max="4" width="21.28515625" customWidth="1"/>
    <col min="5" max="5" width="18.7109375" customWidth="1"/>
    <col min="6" max="6" width="8.85546875" customWidth="1"/>
    <col min="7" max="7" width="23" customWidth="1"/>
    <col min="8" max="14" width="7.5703125" customWidth="1"/>
    <col min="15" max="15" width="14.140625" customWidth="1"/>
    <col min="16" max="16" width="14" customWidth="1"/>
    <col min="17" max="17" width="15.42578125" customWidth="1"/>
    <col min="18" max="18" width="20" customWidth="1"/>
    <col min="19" max="19" width="11.42578125" customWidth="1"/>
  </cols>
  <sheetData>
    <row r="2" spans="2:19" ht="18" x14ac:dyDescent="0.2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x14ac:dyDescent="0.2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2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5.5" x14ac:dyDescent="0.2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2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13" t="s">
        <v>116</v>
      </c>
      <c r="I6" s="213"/>
      <c r="J6" s="213"/>
      <c r="K6" s="213"/>
      <c r="L6" s="213"/>
      <c r="M6" s="213"/>
      <c r="N6" s="213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45" customHeight="1" x14ac:dyDescent="0.2">
      <c r="B7" s="136" t="str">
        <f>SEC_Processes!D17</f>
        <v>ELE_EX_BIOMASS</v>
      </c>
      <c r="C7" s="135" t="s">
        <v>209</v>
      </c>
      <c r="D7" s="116" t="s">
        <v>176</v>
      </c>
      <c r="E7" s="136" t="str">
        <f>SEC_Comm!C7</f>
        <v>ELEC_HV</v>
      </c>
      <c r="F7" s="137">
        <v>1</v>
      </c>
      <c r="G7" s="137">
        <v>31.536000000000001</v>
      </c>
      <c r="H7" s="139">
        <v>0.1</v>
      </c>
      <c r="I7" s="139">
        <v>0.1</v>
      </c>
      <c r="J7" s="139">
        <v>0.1</v>
      </c>
      <c r="K7" s="139">
        <v>0.11</v>
      </c>
      <c r="L7" s="139">
        <v>0.11</v>
      </c>
      <c r="M7" s="139">
        <v>0.11</v>
      </c>
      <c r="N7" s="139">
        <v>0.11</v>
      </c>
      <c r="O7" s="138">
        <v>0.05</v>
      </c>
      <c r="P7" s="132">
        <v>1</v>
      </c>
      <c r="Q7" s="138">
        <v>100</v>
      </c>
      <c r="R7" s="132">
        <v>1E-3</v>
      </c>
    </row>
    <row r="8" spans="2:19" ht="20.45" customHeight="1" x14ac:dyDescent="0.2">
      <c r="B8" s="45" t="str">
        <f>SEC_Processes!D18</f>
        <v>ELE_EX_HIDRO</v>
      </c>
      <c r="C8" s="134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0.05</v>
      </c>
      <c r="I8" s="47">
        <v>0.05</v>
      </c>
      <c r="J8" s="47">
        <v>0.05</v>
      </c>
      <c r="K8" s="47">
        <v>0.05</v>
      </c>
      <c r="L8" s="47">
        <v>0.05</v>
      </c>
      <c r="M8" s="47">
        <v>0.05</v>
      </c>
      <c r="N8" s="47">
        <v>0.05</v>
      </c>
      <c r="O8" s="95">
        <v>0.05</v>
      </c>
      <c r="P8" s="95">
        <v>1</v>
      </c>
      <c r="Q8" s="95">
        <v>26</v>
      </c>
      <c r="R8" s="95">
        <v>1E-3</v>
      </c>
    </row>
    <row r="9" spans="2:19" ht="20.45" customHeight="1" x14ac:dyDescent="0.2">
      <c r="B9" s="133" t="str">
        <f>SEC_Processes!D19</f>
        <v>ELE_EX_HIDRO_RUN</v>
      </c>
      <c r="C9" s="135" t="s">
        <v>206</v>
      </c>
      <c r="D9" s="116" t="s">
        <v>192</v>
      </c>
      <c r="E9" s="61" t="str">
        <f>SEC_Comm!C7</f>
        <v>ELEC_HV</v>
      </c>
      <c r="F9" s="131">
        <v>1</v>
      </c>
      <c r="G9" s="61">
        <v>31.536000000000001</v>
      </c>
      <c r="H9" s="139">
        <v>0.1</v>
      </c>
      <c r="I9" s="139">
        <v>0.1</v>
      </c>
      <c r="J9" s="139">
        <v>0.1</v>
      </c>
      <c r="K9" s="139">
        <v>0.1</v>
      </c>
      <c r="L9" s="139">
        <v>0.1</v>
      </c>
      <c r="M9" s="139">
        <v>0.1</v>
      </c>
      <c r="N9" s="139">
        <v>0.1</v>
      </c>
      <c r="O9" s="132">
        <v>0.05</v>
      </c>
      <c r="P9" s="132">
        <v>1</v>
      </c>
      <c r="Q9" s="138">
        <v>74</v>
      </c>
      <c r="R9" s="132">
        <v>1E-3</v>
      </c>
    </row>
    <row r="10" spans="2:19" ht="20.45" customHeight="1" x14ac:dyDescent="0.2">
      <c r="B10" s="145" t="str">
        <f>SEC_Processes!D20</f>
        <v>ELE_EX_HIDRO_STORAGE_PUMP</v>
      </c>
      <c r="C10" s="134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6">
        <v>0.5</v>
      </c>
      <c r="I10" s="146">
        <v>0.5</v>
      </c>
      <c r="J10" s="146">
        <v>0.5</v>
      </c>
      <c r="K10" s="146">
        <v>0.5</v>
      </c>
      <c r="L10" s="146">
        <v>0.5</v>
      </c>
      <c r="M10" s="146">
        <v>0.5</v>
      </c>
      <c r="N10" s="146">
        <v>0.5</v>
      </c>
      <c r="O10" s="147">
        <v>0.05</v>
      </c>
      <c r="P10" s="147">
        <v>1</v>
      </c>
      <c r="Q10" s="148">
        <v>8</v>
      </c>
      <c r="R10" s="147">
        <v>0</v>
      </c>
    </row>
    <row r="11" spans="2:19" ht="20.45" customHeight="1" x14ac:dyDescent="0.2">
      <c r="B11" s="133" t="str">
        <f>SEC_Processes!D21</f>
        <v>ELE_EX_OTHER</v>
      </c>
      <c r="C11" s="127" t="s">
        <v>222</v>
      </c>
      <c r="D11" s="116" t="s">
        <v>223</v>
      </c>
      <c r="E11" s="61" t="str">
        <f>SEC_Comm!C7</f>
        <v>ELEC_HV</v>
      </c>
      <c r="F11" s="131">
        <v>1</v>
      </c>
      <c r="G11" s="61">
        <v>31.536000000000001</v>
      </c>
      <c r="H11" s="139">
        <v>0.1</v>
      </c>
      <c r="I11" s="139">
        <v>0.1</v>
      </c>
      <c r="J11" s="139">
        <v>0.1</v>
      </c>
      <c r="K11" s="139">
        <v>0.1</v>
      </c>
      <c r="L11" s="139">
        <v>0.1</v>
      </c>
      <c r="M11" s="139">
        <v>0.1</v>
      </c>
      <c r="N11" s="139">
        <v>0.1</v>
      </c>
      <c r="O11" s="132">
        <v>0.05</v>
      </c>
      <c r="P11" s="132">
        <v>1</v>
      </c>
      <c r="Q11" s="138">
        <v>50</v>
      </c>
      <c r="R11" s="132">
        <v>0</v>
      </c>
    </row>
    <row r="12" spans="2:19" ht="20.45" customHeight="1" x14ac:dyDescent="0.2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0">
        <v>1.1200000000000001</v>
      </c>
      <c r="I12" s="47">
        <v>1.22</v>
      </c>
      <c r="J12" s="47">
        <v>1.22</v>
      </c>
      <c r="K12" s="47">
        <v>1.22</v>
      </c>
      <c r="L12" s="47">
        <v>1.22</v>
      </c>
      <c r="M12" s="47">
        <v>1.22</v>
      </c>
      <c r="N12" s="47">
        <v>1.22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45" customHeight="1" x14ac:dyDescent="0.2">
      <c r="B13" s="62" t="str">
        <f>SEC_Processes!D12</f>
        <v>ELE_EX_AUTOPR_PV</v>
      </c>
      <c r="C13" s="169" t="str">
        <f>SEC_Processes!E12</f>
        <v>Existing autoproducer PV Elecrticity</v>
      </c>
      <c r="D13" s="116" t="s">
        <v>124</v>
      </c>
      <c r="E13" s="46" t="s">
        <v>308</v>
      </c>
      <c r="F13" s="131">
        <v>1</v>
      </c>
      <c r="G13" s="61">
        <v>31.536000000000001</v>
      </c>
      <c r="H13" s="201">
        <v>0.443</v>
      </c>
      <c r="I13" s="131">
        <v>0.66500000000000004</v>
      </c>
      <c r="J13" s="131">
        <v>0.66500000000000004</v>
      </c>
      <c r="K13" s="131">
        <v>0.86499999999999999</v>
      </c>
      <c r="L13" s="131">
        <v>1.0649999999999999</v>
      </c>
      <c r="M13" s="131">
        <v>1.2649999999999999</v>
      </c>
      <c r="N13" s="131">
        <v>1.4650000000000001</v>
      </c>
      <c r="O13" s="202">
        <v>0.05</v>
      </c>
      <c r="P13" s="202">
        <v>1</v>
      </c>
      <c r="Q13" s="202">
        <v>20</v>
      </c>
      <c r="R13" s="202">
        <v>0</v>
      </c>
    </row>
    <row r="14" spans="2:19" ht="20.45" customHeight="1" x14ac:dyDescent="0.2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">
        <v>306</v>
      </c>
      <c r="F14" s="47">
        <v>1</v>
      </c>
      <c r="G14" s="46">
        <v>31.536000000000001</v>
      </c>
      <c r="H14" s="47">
        <v>0.16700000000000001</v>
      </c>
      <c r="I14" s="47">
        <v>0.26700000000000002</v>
      </c>
      <c r="J14" s="47">
        <v>3.25</v>
      </c>
      <c r="K14" s="47">
        <v>3.92</v>
      </c>
      <c r="L14" s="47">
        <v>4.59</v>
      </c>
      <c r="M14" s="47">
        <v>4.59</v>
      </c>
      <c r="N14" s="47">
        <v>4.59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25">
      <c r="B15" s="64" t="str">
        <f>SEC_Processes!D14</f>
        <v>ELE_EX_PV</v>
      </c>
      <c r="C15" s="97" t="str">
        <f>SEC_Processes!E14</f>
        <v>Existing Photovoltaics</v>
      </c>
      <c r="D15" s="203" t="s">
        <v>124</v>
      </c>
      <c r="E15" s="64" t="s">
        <v>308</v>
      </c>
      <c r="F15" s="84">
        <v>1</v>
      </c>
      <c r="G15" s="64">
        <v>31.536000000000001</v>
      </c>
      <c r="H15" s="141">
        <v>0.53</v>
      </c>
      <c r="I15" s="84">
        <v>0.79</v>
      </c>
      <c r="J15" s="84">
        <v>0.79</v>
      </c>
      <c r="K15" s="84">
        <v>0.79</v>
      </c>
      <c r="L15" s="84">
        <v>0.79</v>
      </c>
      <c r="M15" s="84">
        <v>0.79</v>
      </c>
      <c r="N15" s="84">
        <v>0.79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2">
      <c r="I17" s="105"/>
      <c r="J17" s="105"/>
    </row>
    <row r="18" spans="2:10" x14ac:dyDescent="0.2">
      <c r="B18" s="23"/>
    </row>
    <row r="20" spans="2:10" x14ac:dyDescent="0.2">
      <c r="I20" s="105"/>
    </row>
    <row r="22" spans="2:10" x14ac:dyDescent="0.2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x14ac:dyDescent="0.2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2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2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2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2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2">
      <c r="B28" s="185" t="s">
        <v>36</v>
      </c>
      <c r="C28" s="42" t="s">
        <v>297</v>
      </c>
      <c r="D28" s="185" t="s">
        <v>312</v>
      </c>
      <c r="E28" s="186" t="s">
        <v>38</v>
      </c>
      <c r="F28" s="44"/>
      <c r="G28" s="44"/>
      <c r="H28" s="44"/>
      <c r="I28" s="44"/>
    </row>
    <row r="29" spans="2:10" x14ac:dyDescent="0.2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2">
      <c r="B30" s="185" t="s">
        <v>36</v>
      </c>
      <c r="C30" s="42" t="s">
        <v>302</v>
      </c>
      <c r="D30" s="185" t="s">
        <v>333</v>
      </c>
      <c r="E30" s="186" t="s">
        <v>38</v>
      </c>
      <c r="F30" s="44"/>
      <c r="G30" s="44"/>
      <c r="H30" s="44"/>
      <c r="I30" s="44"/>
    </row>
    <row r="31" spans="2:10" x14ac:dyDescent="0.2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2">
      <c r="B32" s="185" t="s">
        <v>36</v>
      </c>
      <c r="C32" s="42" t="s">
        <v>325</v>
      </c>
      <c r="D32" s="42" t="s">
        <v>334</v>
      </c>
      <c r="E32" s="186" t="s">
        <v>38</v>
      </c>
      <c r="F32" s="44"/>
      <c r="G32" s="44"/>
      <c r="H32" s="44"/>
      <c r="I32" s="44"/>
    </row>
    <row r="33" spans="2:9" x14ac:dyDescent="0.2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2">
      <c r="B34" s="185" t="s">
        <v>36</v>
      </c>
      <c r="C34" s="42" t="s">
        <v>315</v>
      </c>
      <c r="D34" s="42" t="s">
        <v>315</v>
      </c>
      <c r="E34" s="186" t="s">
        <v>38</v>
      </c>
      <c r="F34" s="44"/>
      <c r="G34" s="44"/>
      <c r="H34" s="44"/>
      <c r="I34" s="44"/>
    </row>
    <row r="35" spans="2:9" x14ac:dyDescent="0.2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2">
      <c r="B36" s="185" t="s">
        <v>36</v>
      </c>
      <c r="C36" s="42" t="s">
        <v>328</v>
      </c>
      <c r="D36" s="185" t="s">
        <v>336</v>
      </c>
      <c r="E36" s="186" t="s">
        <v>38</v>
      </c>
      <c r="F36" s="44"/>
      <c r="G36" s="44"/>
      <c r="H36" s="44"/>
      <c r="I36" s="44"/>
    </row>
    <row r="37" spans="2:9" x14ac:dyDescent="0.2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2">
      <c r="B38" s="185" t="s">
        <v>36</v>
      </c>
      <c r="C38" s="42" t="s">
        <v>178</v>
      </c>
      <c r="D38" s="185" t="s">
        <v>179</v>
      </c>
      <c r="E38" s="186" t="s">
        <v>38</v>
      </c>
      <c r="F38" s="44"/>
      <c r="G38" s="44"/>
      <c r="H38" s="44"/>
      <c r="I38" s="44"/>
    </row>
    <row r="39" spans="2:9" x14ac:dyDescent="0.2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2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2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2">
      <c r="B42" s="49" t="s">
        <v>36</v>
      </c>
      <c r="C42" s="114" t="s">
        <v>339</v>
      </c>
      <c r="D42" s="49" t="s">
        <v>339</v>
      </c>
      <c r="E42" s="123" t="s">
        <v>38</v>
      </c>
      <c r="F42" s="48"/>
      <c r="G42" s="48"/>
      <c r="H42" s="48"/>
      <c r="I42" s="48"/>
    </row>
    <row r="43" spans="2:9" x14ac:dyDescent="0.2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2">
      <c r="B44" s="49" t="s">
        <v>36</v>
      </c>
      <c r="C44" s="114" t="s">
        <v>340</v>
      </c>
      <c r="D44" s="49" t="s">
        <v>341</v>
      </c>
      <c r="E44" s="123" t="s">
        <v>38</v>
      </c>
      <c r="F44" s="48"/>
      <c r="G44" s="48"/>
      <c r="H44" s="48"/>
      <c r="I44" s="48"/>
    </row>
    <row r="45" spans="2:9" x14ac:dyDescent="0.2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5" thickBot="1" x14ac:dyDescent="0.25">
      <c r="B46" s="196" t="s">
        <v>36</v>
      </c>
      <c r="C46" s="197" t="s">
        <v>223</v>
      </c>
      <c r="D46" s="196" t="s">
        <v>223</v>
      </c>
      <c r="E46" s="198" t="s">
        <v>38</v>
      </c>
      <c r="F46" s="199"/>
      <c r="G46" s="199"/>
      <c r="H46" s="199"/>
      <c r="I46" s="199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X28"/>
  <sheetViews>
    <sheetView topLeftCell="L1" zoomScale="90" zoomScaleNormal="110" workbookViewId="0">
      <selection activeCell="O38" sqref="O38"/>
    </sheetView>
  </sheetViews>
  <sheetFormatPr defaultRowHeight="12.75" x14ac:dyDescent="0.2"/>
  <cols>
    <col min="1" max="1" width="3" customWidth="1"/>
    <col min="2" max="2" width="16.5703125" customWidth="1"/>
    <col min="3" max="3" width="66" customWidth="1"/>
    <col min="4" max="4" width="13.85546875" customWidth="1"/>
    <col min="5" max="5" width="14.7109375" customWidth="1"/>
    <col min="6" max="8" width="13.5703125" customWidth="1"/>
    <col min="9" max="9" width="10" customWidth="1"/>
    <col min="10" max="10" width="19.7109375" customWidth="1"/>
    <col min="11" max="15" width="18.7109375" customWidth="1"/>
    <col min="16" max="16" width="12" customWidth="1"/>
    <col min="17" max="17" width="15" customWidth="1"/>
    <col min="18" max="18" width="20.85546875" customWidth="1"/>
    <col min="19" max="19" width="20.140625" customWidth="1"/>
    <col min="20" max="23" width="20.85546875" customWidth="1"/>
    <col min="24" max="24" width="53.28515625" customWidth="1"/>
  </cols>
  <sheetData>
    <row r="2" spans="2:24" ht="18" x14ac:dyDescent="0.25">
      <c r="B2" s="102" t="s">
        <v>125</v>
      </c>
      <c r="C2" s="41"/>
      <c r="E2" s="26"/>
      <c r="F2" s="26"/>
      <c r="G2" s="26"/>
      <c r="H2" s="26"/>
    </row>
    <row r="3" spans="2:24" x14ac:dyDescent="0.2">
      <c r="B3" s="31"/>
      <c r="C3" s="25"/>
      <c r="E3" s="26"/>
      <c r="F3" s="26"/>
      <c r="G3" s="26"/>
      <c r="H3" s="26"/>
    </row>
    <row r="4" spans="2:24" ht="15.75" customHeight="1" x14ac:dyDescent="0.2">
      <c r="E4" s="36" t="s">
        <v>100</v>
      </c>
      <c r="F4" s="36"/>
      <c r="G4" s="36"/>
      <c r="H4" s="36"/>
      <c r="I4" s="34"/>
      <c r="J4" s="34"/>
    </row>
    <row r="5" spans="2:24" ht="15.75" customHeight="1" x14ac:dyDescent="0.2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347</v>
      </c>
      <c r="M5" s="106" t="s">
        <v>348</v>
      </c>
      <c r="N5" s="106" t="s">
        <v>349</v>
      </c>
      <c r="O5" s="106" t="s">
        <v>350</v>
      </c>
      <c r="P5" s="106" t="s">
        <v>132</v>
      </c>
      <c r="Q5" s="106" t="s">
        <v>133</v>
      </c>
      <c r="R5" s="106" t="s">
        <v>369</v>
      </c>
      <c r="S5" s="106" t="s">
        <v>370</v>
      </c>
      <c r="T5" s="106" t="s">
        <v>371</v>
      </c>
      <c r="U5" s="106" t="s">
        <v>375</v>
      </c>
      <c r="V5" s="106" t="s">
        <v>376</v>
      </c>
      <c r="W5" s="106" t="s">
        <v>377</v>
      </c>
      <c r="X5" s="106" t="s">
        <v>205</v>
      </c>
    </row>
    <row r="6" spans="2:24" ht="31.7" customHeight="1" x14ac:dyDescent="0.2">
      <c r="B6" s="118" t="s">
        <v>111</v>
      </c>
      <c r="C6" s="118" t="s">
        <v>70</v>
      </c>
      <c r="D6" s="118" t="s">
        <v>112</v>
      </c>
      <c r="E6" s="118" t="s">
        <v>113</v>
      </c>
      <c r="F6" s="118" t="s">
        <v>114</v>
      </c>
      <c r="G6" s="118" t="s">
        <v>270</v>
      </c>
      <c r="H6" s="118" t="s">
        <v>77</v>
      </c>
      <c r="I6" s="118"/>
      <c r="J6" s="118"/>
      <c r="K6" s="118" t="s">
        <v>277</v>
      </c>
      <c r="L6" s="118" t="s">
        <v>277</v>
      </c>
      <c r="M6" s="118" t="s">
        <v>277</v>
      </c>
      <c r="N6" s="118" t="s">
        <v>277</v>
      </c>
      <c r="O6" s="118" t="s">
        <v>277</v>
      </c>
      <c r="P6" s="118"/>
      <c r="Q6" s="118"/>
      <c r="R6" s="118" t="s">
        <v>372</v>
      </c>
      <c r="S6" s="118" t="s">
        <v>373</v>
      </c>
      <c r="T6" s="118" t="s">
        <v>374</v>
      </c>
      <c r="U6" s="118" t="s">
        <v>378</v>
      </c>
      <c r="V6" s="118" t="s">
        <v>379</v>
      </c>
      <c r="W6" s="118" t="s">
        <v>380</v>
      </c>
    </row>
    <row r="7" spans="2:24" ht="18.95" customHeight="1" x14ac:dyDescent="0.2">
      <c r="B7" s="205" t="str">
        <f>SEC_Processes!D24</f>
        <v>TRANSF_HV-MV</v>
      </c>
      <c r="C7" s="205" t="str">
        <f>SEC_Processes!E24</f>
        <v>Electricity Transformation and Distribution High Voltage to Medium Voltage</v>
      </c>
      <c r="D7" s="205" t="str">
        <f>SEC_Comm!C7</f>
        <v>ELEC_HV</v>
      </c>
      <c r="E7" s="205" t="str">
        <f>SEC_Comm!C10</f>
        <v>ELEC_MV_GRID</v>
      </c>
      <c r="F7" s="206">
        <v>0.94</v>
      </c>
      <c r="G7">
        <v>5.5</v>
      </c>
      <c r="H7">
        <v>1</v>
      </c>
      <c r="I7">
        <v>31.536000000000001</v>
      </c>
      <c r="J7">
        <v>0</v>
      </c>
      <c r="K7">
        <v>50</v>
      </c>
      <c r="L7">
        <v>50</v>
      </c>
      <c r="M7">
        <v>0</v>
      </c>
      <c r="N7">
        <v>0</v>
      </c>
      <c r="O7">
        <v>0</v>
      </c>
      <c r="P7">
        <v>1</v>
      </c>
      <c r="Q7">
        <v>1</v>
      </c>
      <c r="U7">
        <v>1</v>
      </c>
      <c r="V7">
        <v>1</v>
      </c>
      <c r="W7">
        <v>1</v>
      </c>
      <c r="X7" s="1">
        <f>1-F7</f>
        <v>6.0000000000000053E-2</v>
      </c>
    </row>
    <row r="8" spans="2:24" ht="18.95" customHeight="1" x14ac:dyDescent="0.2">
      <c r="B8" s="207" t="str">
        <f>SEC_Processes!D25</f>
        <v>TRANSF_MV-LV</v>
      </c>
      <c r="C8" s="207" t="str">
        <f>SEC_Processes!E25</f>
        <v>Electricity Transformation and Distribution Medium Voltage to Low Voltage</v>
      </c>
      <c r="D8" s="207" t="str">
        <f>SEC_Comm!C10</f>
        <v>ELEC_MV_GRID</v>
      </c>
      <c r="E8" s="62"/>
      <c r="F8" s="208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62">
        <v>80</v>
      </c>
      <c r="L8" s="62">
        <v>70</v>
      </c>
      <c r="M8" s="62">
        <v>0</v>
      </c>
      <c r="N8" s="62">
        <v>0</v>
      </c>
      <c r="O8" s="62">
        <v>0</v>
      </c>
      <c r="P8" s="62">
        <v>1</v>
      </c>
      <c r="Q8" s="62">
        <v>1</v>
      </c>
      <c r="R8" s="62"/>
      <c r="S8" s="62"/>
      <c r="T8" s="62"/>
      <c r="U8" s="62">
        <v>1</v>
      </c>
      <c r="V8" s="62">
        <v>1</v>
      </c>
      <c r="W8" s="62">
        <v>1</v>
      </c>
    </row>
    <row r="9" spans="2:24" ht="18.95" customHeight="1" x14ac:dyDescent="0.2">
      <c r="B9" s="207"/>
      <c r="C9" s="207"/>
      <c r="D9" s="207"/>
      <c r="E9" s="207" t="str">
        <f>SEC_Comm!C11</f>
        <v>ELEC_LV_GRID</v>
      </c>
      <c r="F9" s="208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</row>
    <row r="10" spans="2:24" ht="18.95" customHeight="1" x14ac:dyDescent="0.2">
      <c r="B10" s="205" t="str">
        <f>SEC_Processes!D26</f>
        <v>DISTRIBU_LV</v>
      </c>
      <c r="C10" s="205" t="str">
        <f>SEC_Processes!E26</f>
        <v>Electricity distribution to Low Voltage</v>
      </c>
      <c r="D10" t="s">
        <v>306</v>
      </c>
      <c r="F10">
        <v>0.89</v>
      </c>
      <c r="G10">
        <v>5.5</v>
      </c>
      <c r="H10">
        <v>1</v>
      </c>
      <c r="I10">
        <v>31.536000000000001</v>
      </c>
      <c r="J10">
        <v>0</v>
      </c>
      <c r="K10">
        <v>150</v>
      </c>
      <c r="L10">
        <v>150</v>
      </c>
      <c r="M10">
        <v>0</v>
      </c>
      <c r="N10">
        <v>0</v>
      </c>
      <c r="O10">
        <v>0</v>
      </c>
      <c r="P10">
        <v>1</v>
      </c>
      <c r="Q10">
        <v>1</v>
      </c>
      <c r="R10">
        <v>5</v>
      </c>
      <c r="S10">
        <v>4.2</v>
      </c>
      <c r="T10">
        <v>3.7</v>
      </c>
      <c r="U10">
        <v>1</v>
      </c>
      <c r="V10">
        <v>1</v>
      </c>
      <c r="W10">
        <v>1</v>
      </c>
    </row>
    <row r="11" spans="2:24" ht="18.95" customHeight="1" x14ac:dyDescent="0.2">
      <c r="B11" s="207"/>
      <c r="C11" s="207"/>
      <c r="D11" s="207"/>
      <c r="E11" s="207" t="s">
        <v>290</v>
      </c>
      <c r="F11" s="207"/>
      <c r="G11" s="207"/>
      <c r="H11" s="207"/>
      <c r="I11" s="207"/>
      <c r="J11" s="207"/>
      <c r="K11" s="20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</row>
    <row r="12" spans="2:24" x14ac:dyDescent="0.2">
      <c r="E12" s="23"/>
      <c r="F12" s="23"/>
      <c r="G12" s="23"/>
      <c r="H12" s="23"/>
    </row>
    <row r="16" spans="2:24" x14ac:dyDescent="0.2">
      <c r="F16" s="162"/>
      <c r="G16" s="162"/>
      <c r="H16" s="162"/>
    </row>
    <row r="17" spans="4:8" x14ac:dyDescent="0.2">
      <c r="F17" s="162"/>
      <c r="G17" s="162"/>
      <c r="H17" s="162"/>
    </row>
    <row r="18" spans="4:8" x14ac:dyDescent="0.2">
      <c r="F18" s="163"/>
      <c r="G18" s="163"/>
      <c r="H18" s="163"/>
    </row>
    <row r="26" spans="4:8" x14ac:dyDescent="0.2">
      <c r="D26">
        <v>100</v>
      </c>
    </row>
    <row r="27" spans="4:8" x14ac:dyDescent="0.2">
      <c r="D27">
        <f>D26/F7</f>
        <v>106.38297872340426</v>
      </c>
    </row>
    <row r="28" spans="4:8" x14ac:dyDescent="0.2">
      <c r="D28">
        <f>D27+G7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2"/>
  <cols>
    <col min="2" max="2" width="11.5703125" customWidth="1"/>
    <col min="3" max="3" width="16.85546875" customWidth="1"/>
    <col min="4" max="4" width="9.140625" bestFit="1" customWidth="1"/>
    <col min="5" max="5" width="11.140625" bestFit="1" customWidth="1"/>
    <col min="6" max="6" width="16.5703125" customWidth="1"/>
    <col min="8" max="8" width="11.140625" customWidth="1"/>
    <col min="9" max="9" width="12" customWidth="1"/>
    <col min="10" max="10" width="12.140625" customWidth="1"/>
    <col min="11" max="11" width="11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  <c r="G2" s="150"/>
      <c r="H2" s="150"/>
      <c r="I2" s="150"/>
      <c r="J2" s="150"/>
      <c r="K2" s="150"/>
    </row>
    <row r="4" spans="2:21" x14ac:dyDescent="0.2">
      <c r="E4" s="151" t="s">
        <v>100</v>
      </c>
      <c r="F4" s="151"/>
      <c r="G4" s="151"/>
      <c r="H4" s="151"/>
      <c r="I4" s="151"/>
      <c r="J4" s="151"/>
      <c r="K4" s="151"/>
    </row>
    <row r="5" spans="2:21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233</v>
      </c>
      <c r="L5" s="152" t="s">
        <v>234</v>
      </c>
      <c r="M5" s="152" t="s">
        <v>235</v>
      </c>
      <c r="N5" s="152" t="s">
        <v>249</v>
      </c>
      <c r="O5" s="159" t="s">
        <v>259</v>
      </c>
      <c r="P5" s="159" t="s">
        <v>250</v>
      </c>
      <c r="Q5" s="159" t="s">
        <v>251</v>
      </c>
      <c r="R5" s="159" t="s">
        <v>252</v>
      </c>
      <c r="S5" s="159" t="s">
        <v>253</v>
      </c>
      <c r="T5" s="159" t="s">
        <v>254</v>
      </c>
      <c r="U5" s="159" t="s">
        <v>255</v>
      </c>
    </row>
    <row r="6" spans="2:21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5" t="s">
        <v>241</v>
      </c>
      <c r="M6" s="155" t="s">
        <v>240</v>
      </c>
      <c r="N6" s="155" t="s">
        <v>258</v>
      </c>
      <c r="O6" s="155"/>
      <c r="P6" s="155"/>
      <c r="Q6" s="155"/>
      <c r="R6" s="155"/>
      <c r="S6" s="155"/>
      <c r="T6" s="155"/>
      <c r="U6" s="155"/>
    </row>
    <row r="7" spans="2:21" x14ac:dyDescent="0.2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1">
        <v>30</v>
      </c>
      <c r="O7" s="12"/>
      <c r="P7" s="12"/>
      <c r="Q7" s="12"/>
      <c r="R7" s="12"/>
      <c r="S7" s="12"/>
      <c r="T7" s="12"/>
      <c r="U7" s="12"/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</row>
    <row r="11" spans="2:21" x14ac:dyDescent="0.2">
      <c r="H11" t="s">
        <v>265</v>
      </c>
      <c r="K11">
        <f>H7*L7</f>
        <v>15.768000000000001</v>
      </c>
      <c r="L11" t="s">
        <v>266</v>
      </c>
    </row>
    <row r="12" spans="2:21" x14ac:dyDescent="0.2">
      <c r="K12">
        <f>K11/3.6</f>
        <v>4.38</v>
      </c>
      <c r="L12" t="s">
        <v>267</v>
      </c>
    </row>
    <row r="13" spans="2:21" x14ac:dyDescent="0.2">
      <c r="H13" t="s">
        <v>269</v>
      </c>
      <c r="K13">
        <v>2</v>
      </c>
    </row>
    <row r="14" spans="2:21" x14ac:dyDescent="0.2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workbookViewId="0">
      <selection activeCell="R11" sqref="R11"/>
    </sheetView>
  </sheetViews>
  <sheetFormatPr defaultRowHeight="12.75" x14ac:dyDescent="0.2"/>
  <cols>
    <col min="2" max="2" width="15.42578125" customWidth="1"/>
    <col min="3" max="3" width="16.28515625" customWidth="1"/>
    <col min="4" max="4" width="17.140625" customWidth="1"/>
    <col min="5" max="5" width="13.85546875" customWidth="1"/>
    <col min="6" max="6" width="15.28515625" customWidth="1"/>
    <col min="8" max="8" width="13.28515625" customWidth="1"/>
    <col min="9" max="9" width="13.85546875" customWidth="1"/>
    <col min="10" max="11" width="12.140625" customWidth="1"/>
    <col min="12" max="12" width="13" customWidth="1"/>
    <col min="13" max="13" width="11.28515625" customWidth="1"/>
  </cols>
  <sheetData>
    <row r="4" spans="2:22" x14ac:dyDescent="0.2">
      <c r="E4" s="151" t="s">
        <v>100</v>
      </c>
      <c r="F4" s="151"/>
      <c r="G4" s="151"/>
      <c r="H4" s="151"/>
      <c r="I4" s="151"/>
      <c r="J4" s="151"/>
      <c r="K4" s="151"/>
      <c r="L4" s="151"/>
    </row>
    <row r="5" spans="2:22" ht="25.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2" t="s">
        <v>248</v>
      </c>
      <c r="G5" s="152" t="s">
        <v>108</v>
      </c>
      <c r="H5" s="154" t="s">
        <v>264</v>
      </c>
      <c r="I5" s="154" t="s">
        <v>228</v>
      </c>
      <c r="J5" s="154" t="s">
        <v>229</v>
      </c>
      <c r="K5" s="154" t="s">
        <v>231</v>
      </c>
      <c r="L5" s="154" t="s">
        <v>233</v>
      </c>
      <c r="M5" s="152" t="s">
        <v>234</v>
      </c>
      <c r="N5" s="152" t="s">
        <v>235</v>
      </c>
      <c r="O5" s="152" t="s">
        <v>249</v>
      </c>
      <c r="P5" s="159" t="s">
        <v>259</v>
      </c>
      <c r="Q5" s="159" t="s">
        <v>250</v>
      </c>
      <c r="R5" s="159" t="s">
        <v>251</v>
      </c>
      <c r="S5" s="159" t="s">
        <v>252</v>
      </c>
      <c r="T5" s="159" t="s">
        <v>253</v>
      </c>
      <c r="U5" s="159" t="s">
        <v>254</v>
      </c>
      <c r="V5" s="159" t="s">
        <v>255</v>
      </c>
    </row>
    <row r="6" spans="2:22" ht="13.5" thickBot="1" x14ac:dyDescent="0.25">
      <c r="B6" s="155" t="s">
        <v>239</v>
      </c>
      <c r="C6" s="155"/>
      <c r="D6" s="155"/>
      <c r="E6" s="156"/>
      <c r="F6" s="156" t="s">
        <v>77</v>
      </c>
      <c r="G6" s="156"/>
      <c r="H6" s="156"/>
      <c r="I6" s="156"/>
      <c r="J6" s="156"/>
      <c r="K6" s="156"/>
      <c r="L6" s="156"/>
      <c r="M6" s="155" t="s">
        <v>241</v>
      </c>
      <c r="N6" s="155" t="s">
        <v>240</v>
      </c>
      <c r="O6" s="155" t="s">
        <v>258</v>
      </c>
      <c r="P6" s="155"/>
      <c r="Q6" s="155"/>
      <c r="R6" s="155" t="s">
        <v>351</v>
      </c>
      <c r="S6" s="155" t="s">
        <v>351</v>
      </c>
      <c r="T6" s="155" t="s">
        <v>351</v>
      </c>
      <c r="U6" s="155" t="s">
        <v>351</v>
      </c>
      <c r="V6" s="155" t="s">
        <v>351</v>
      </c>
    </row>
    <row r="7" spans="2:22" x14ac:dyDescent="0.2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1">
        <v>30</v>
      </c>
      <c r="P7" s="12">
        <v>11</v>
      </c>
      <c r="Q7" s="12">
        <v>11</v>
      </c>
      <c r="R7" s="12">
        <v>11</v>
      </c>
      <c r="S7" s="12">
        <v>11</v>
      </c>
      <c r="T7" s="12">
        <v>11</v>
      </c>
      <c r="U7" s="12">
        <v>11</v>
      </c>
      <c r="V7" s="12">
        <v>11</v>
      </c>
    </row>
    <row r="8" spans="2:22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</row>
    <row r="15" spans="2:22" x14ac:dyDescent="0.2">
      <c r="C15" t="s">
        <v>324</v>
      </c>
      <c r="D15" t="s">
        <v>38</v>
      </c>
      <c r="F15" t="s">
        <v>323</v>
      </c>
      <c r="G15" t="s">
        <v>38</v>
      </c>
    </row>
    <row r="16" spans="2:22" x14ac:dyDescent="0.2">
      <c r="C16">
        <v>1</v>
      </c>
      <c r="D16">
        <v>3.6</v>
      </c>
    </row>
    <row r="17" spans="6:7" x14ac:dyDescent="0.2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2"/>
  <cols>
    <col min="2" max="2" width="39" customWidth="1"/>
    <col min="3" max="3" width="20.85546875" customWidth="1"/>
  </cols>
  <sheetData>
    <row r="2" spans="2:21" ht="18" x14ac:dyDescent="0.25">
      <c r="B2" s="149" t="s">
        <v>224</v>
      </c>
      <c r="C2" s="150"/>
      <c r="D2" s="150"/>
      <c r="E2" s="150"/>
      <c r="F2" s="150"/>
    </row>
    <row r="4" spans="2:21" x14ac:dyDescent="0.2">
      <c r="E4" s="151" t="s">
        <v>100</v>
      </c>
    </row>
    <row r="5" spans="2:21" ht="38.25" x14ac:dyDescent="0.2">
      <c r="B5" s="152" t="s">
        <v>60</v>
      </c>
      <c r="C5" s="152" t="s">
        <v>122</v>
      </c>
      <c r="D5" s="152" t="s">
        <v>102</v>
      </c>
      <c r="E5" s="152" t="s">
        <v>103</v>
      </c>
      <c r="F5" s="153" t="s">
        <v>225</v>
      </c>
      <c r="G5" s="158" t="s">
        <v>226</v>
      </c>
      <c r="H5" s="154" t="s">
        <v>227</v>
      </c>
      <c r="I5" s="154" t="s">
        <v>228</v>
      </c>
      <c r="J5" s="154" t="s">
        <v>229</v>
      </c>
      <c r="K5" s="154" t="s">
        <v>230</v>
      </c>
      <c r="L5" s="154" t="s">
        <v>231</v>
      </c>
      <c r="M5" s="154" t="s">
        <v>232</v>
      </c>
      <c r="N5" s="154" t="s">
        <v>233</v>
      </c>
      <c r="O5" s="152" t="s">
        <v>234</v>
      </c>
      <c r="P5" s="152" t="s">
        <v>235</v>
      </c>
      <c r="Q5" s="152" t="s">
        <v>236</v>
      </c>
      <c r="R5" s="152" t="s">
        <v>109</v>
      </c>
      <c r="S5" s="152" t="s">
        <v>110</v>
      </c>
      <c r="T5" s="159" t="s">
        <v>237</v>
      </c>
      <c r="U5" s="160" t="s">
        <v>238</v>
      </c>
    </row>
    <row r="6" spans="2:21" ht="13.5" thickBot="1" x14ac:dyDescent="0.25">
      <c r="B6" s="155" t="s">
        <v>239</v>
      </c>
      <c r="C6" s="155"/>
      <c r="D6" s="155"/>
      <c r="E6" s="156"/>
      <c r="F6" s="156"/>
      <c r="G6" s="155" t="s">
        <v>240</v>
      </c>
      <c r="H6" s="155" t="s">
        <v>77</v>
      </c>
      <c r="I6" s="155" t="s">
        <v>77</v>
      </c>
      <c r="J6" s="155" t="s">
        <v>77</v>
      </c>
      <c r="K6" s="155" t="s">
        <v>77</v>
      </c>
      <c r="L6" s="155" t="s">
        <v>77</v>
      </c>
      <c r="M6" s="155" t="s">
        <v>77</v>
      </c>
      <c r="N6" s="155" t="s">
        <v>77</v>
      </c>
      <c r="O6" s="155" t="s">
        <v>241</v>
      </c>
      <c r="P6" s="155" t="s">
        <v>240</v>
      </c>
      <c r="Q6" s="155" t="s">
        <v>242</v>
      </c>
      <c r="R6" s="155" t="s">
        <v>278</v>
      </c>
      <c r="S6" s="155" t="s">
        <v>243</v>
      </c>
      <c r="T6" s="155"/>
      <c r="U6" s="155"/>
    </row>
    <row r="7" spans="2:21" x14ac:dyDescent="0.2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5" thickBot="1" x14ac:dyDescent="0.25"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 t="s">
        <v>245</v>
      </c>
      <c r="U8" s="157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zoomScale="115" zoomScaleNormal="115" workbookViewId="0">
      <selection activeCell="B7" sqref="B7:G7"/>
    </sheetView>
  </sheetViews>
  <sheetFormatPr defaultRowHeight="12.75" x14ac:dyDescent="0.2"/>
  <cols>
    <col min="1" max="1" width="3" customWidth="1"/>
    <col min="2" max="2" width="30.140625" customWidth="1"/>
    <col min="3" max="3" width="14" customWidth="1"/>
    <col min="4" max="4" width="11.28515625" customWidth="1"/>
    <col min="7" max="7" width="12.140625" customWidth="1"/>
  </cols>
  <sheetData>
    <row r="2" spans="2:9" ht="15" x14ac:dyDescent="0.2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2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2">
      <c r="B4" s="38"/>
      <c r="C4" s="36" t="s">
        <v>127</v>
      </c>
      <c r="D4" s="40"/>
      <c r="E4" s="40"/>
      <c r="F4" s="40"/>
      <c r="G4" s="40"/>
    </row>
    <row r="5" spans="2:9" ht="15.75" customHeight="1" x14ac:dyDescent="0.2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2">
      <c r="B6" s="191" t="s">
        <v>111</v>
      </c>
      <c r="C6" s="191" t="s">
        <v>129</v>
      </c>
      <c r="D6" s="226" t="s">
        <v>130</v>
      </c>
      <c r="E6" s="226"/>
      <c r="F6" s="226"/>
      <c r="G6" s="226"/>
    </row>
    <row r="7" spans="2:9" ht="15.75" customHeight="1" x14ac:dyDescent="0.2">
      <c r="B7" s="189" t="str">
        <f>SEC_Processes!D15</f>
        <v>ELE_EX_HC</v>
      </c>
      <c r="C7" s="188" t="s">
        <v>45</v>
      </c>
      <c r="D7" s="179">
        <v>96</v>
      </c>
      <c r="E7" s="190"/>
      <c r="F7" s="190"/>
      <c r="G7" s="190"/>
    </row>
    <row r="8" spans="2:9" ht="15.75" customHeight="1" x14ac:dyDescent="0.2">
      <c r="B8" s="174" t="str">
        <f>SEC_Processes!D16</f>
        <v>ELE_EX_OILGAS</v>
      </c>
      <c r="C8" s="188" t="s">
        <v>45</v>
      </c>
      <c r="D8" s="175"/>
      <c r="E8" s="175">
        <v>112</v>
      </c>
      <c r="F8" s="175"/>
      <c r="G8" s="175"/>
    </row>
    <row r="9" spans="2:9" ht="15.75" customHeight="1" x14ac:dyDescent="0.2">
      <c r="B9" s="192" t="str">
        <f>SEC_Processes!D27</f>
        <v>REFINARY</v>
      </c>
      <c r="C9" s="195" t="s">
        <v>45</v>
      </c>
      <c r="D9" s="193"/>
      <c r="E9" s="193"/>
      <c r="F9" s="193"/>
      <c r="G9" s="194">
        <v>7.3</v>
      </c>
    </row>
    <row r="10" spans="2:9" ht="15.75" customHeight="1" x14ac:dyDescent="0.2"/>
    <row r="11" spans="2:9" ht="15.75" customHeight="1" x14ac:dyDescent="0.2"/>
  </sheetData>
  <mergeCells count="1">
    <mergeCell ref="D6:G6"/>
  </mergeCells>
  <phoneticPr fontId="1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99FA-8D61-47C1-BBA6-824A0E7DE546}">
  <dimension ref="B2:O6"/>
  <sheetViews>
    <sheetView workbookViewId="0">
      <selection activeCell="F25" sqref="F25"/>
    </sheetView>
  </sheetViews>
  <sheetFormatPr defaultRowHeight="12.75" x14ac:dyDescent="0.2"/>
  <sheetData>
    <row r="2" spans="2:15" x14ac:dyDescent="0.2">
      <c r="C2" t="s">
        <v>352</v>
      </c>
    </row>
    <row r="4" spans="2:15" x14ac:dyDescent="0.2">
      <c r="B4" s="36" t="s">
        <v>353</v>
      </c>
    </row>
    <row r="5" spans="2:15" x14ac:dyDescent="0.2">
      <c r="B5" s="106" t="s">
        <v>354</v>
      </c>
      <c r="C5" s="106" t="s">
        <v>25</v>
      </c>
      <c r="D5" s="106" t="s">
        <v>355</v>
      </c>
      <c r="E5" s="106" t="s">
        <v>163</v>
      </c>
      <c r="F5" s="106" t="s">
        <v>356</v>
      </c>
      <c r="G5" s="106" t="s">
        <v>357</v>
      </c>
      <c r="H5" s="106" t="s">
        <v>358</v>
      </c>
      <c r="I5" s="106" t="s">
        <v>359</v>
      </c>
      <c r="J5" s="106" t="s">
        <v>360</v>
      </c>
      <c r="K5" s="106" t="s">
        <v>361</v>
      </c>
      <c r="L5" s="106" t="s">
        <v>362</v>
      </c>
      <c r="M5" s="106" t="s">
        <v>363</v>
      </c>
      <c r="N5" s="106" t="s">
        <v>364</v>
      </c>
      <c r="O5" s="106" t="s">
        <v>365</v>
      </c>
    </row>
    <row r="6" spans="2:15" x14ac:dyDescent="0.2">
      <c r="B6" s="209"/>
      <c r="C6" s="210" t="s">
        <v>366</v>
      </c>
      <c r="D6" s="211" t="s">
        <v>367</v>
      </c>
      <c r="E6" s="212"/>
      <c r="F6" s="212">
        <v>2</v>
      </c>
      <c r="G6" s="212"/>
      <c r="H6" s="209"/>
      <c r="I6" s="210" t="s">
        <v>368</v>
      </c>
      <c r="J6" s="211"/>
      <c r="K6" s="212"/>
      <c r="L6" s="212"/>
      <c r="M6" s="212"/>
      <c r="N6" s="209"/>
      <c r="O6" s="2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  <vt:lpstr>IMPNRGZ_BND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2026-05-27T08:01:49Z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