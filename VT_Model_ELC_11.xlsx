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unicadrsi-my.sharepoint.com/personal/pierlucam_buonomo_unica_it/Documents/Desktop/Dottorato Luca 2023/PIANIFICAZIONE ENERGETICA/myproject_08_05/"/>
    </mc:Choice>
  </mc:AlternateContent>
  <xr:revisionPtr revIDLastSave="0" documentId="8_{9C3A2D5A-2682-4129-AE27-7676D779815A}" xr6:coauthVersionLast="47" xr6:coauthVersionMax="47" xr10:uidLastSave="{00000000-0000-0000-0000-000000000000}"/>
  <bookViews>
    <workbookView xWindow="14070" yWindow="5535" windowWidth="28230" windowHeight="15345" tabRatio="901" activeTab="5" xr2:uid="{00000000-000D-0000-FFFF-FFFF00000000}"/>
  </bookViews>
  <sheets>
    <sheet name="BALANCE" sheetId="1" r:id="rId1"/>
    <sheet name="TOPOLOGY" sheetId="2" r:id="rId2"/>
    <sheet name="SEC_Comm" sheetId="3" r:id="rId3"/>
    <sheet name="SEC_Processes" sheetId="4" r:id="rId4"/>
    <sheet name="REF" sheetId="5" r:id="rId5"/>
    <sheet name="PP" sheetId="6" r:id="rId6"/>
    <sheet name="RES" sheetId="7" r:id="rId7"/>
    <sheet name="T&amp;D" sheetId="8" r:id="rId8"/>
    <sheet name="IMP" sheetId="9" r:id="rId9"/>
    <sheet name="EXP" sheetId="10" r:id="rId10"/>
    <sheet name="STG" sheetId="11" r:id="rId11"/>
    <sheet name="EMI" sheetId="12" r:id="rId12"/>
    <sheet name="IMPNRGZ_BND" sheetId="13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B8" i="12"/>
  <c r="B7" i="12"/>
  <c r="B7" i="11"/>
  <c r="G17" i="10"/>
  <c r="H7" i="10" s="1"/>
  <c r="I7" i="10"/>
  <c r="D7" i="10"/>
  <c r="C7" i="10"/>
  <c r="B7" i="10"/>
  <c r="K11" i="9"/>
  <c r="K12" i="9" s="1"/>
  <c r="K14" i="9" s="1"/>
  <c r="E7" i="9"/>
  <c r="C7" i="9"/>
  <c r="B7" i="9"/>
  <c r="D27" i="8"/>
  <c r="D28" i="8" s="1"/>
  <c r="C10" i="8"/>
  <c r="B10" i="8"/>
  <c r="E9" i="8"/>
  <c r="D8" i="8"/>
  <c r="C8" i="8"/>
  <c r="B8" i="8"/>
  <c r="X7" i="8"/>
  <c r="E7" i="8"/>
  <c r="D7" i="8"/>
  <c r="C7" i="8"/>
  <c r="B7" i="8"/>
  <c r="E36" i="6"/>
  <c r="E27" i="6"/>
  <c r="D27" i="6"/>
  <c r="C27" i="6"/>
  <c r="B27" i="6"/>
  <c r="E26" i="6"/>
  <c r="E17" i="6"/>
  <c r="D17" i="6"/>
  <c r="C17" i="6"/>
  <c r="B17" i="6"/>
  <c r="I8" i="6"/>
  <c r="H8" i="6"/>
  <c r="F8" i="6"/>
  <c r="E8" i="6"/>
  <c r="D8" i="6"/>
  <c r="C8" i="6"/>
  <c r="B8" i="6"/>
  <c r="H7" i="6"/>
  <c r="I7" i="6" s="1"/>
  <c r="F7" i="6"/>
  <c r="E7" i="6"/>
  <c r="D7" i="6"/>
  <c r="C7" i="6"/>
  <c r="B7" i="6"/>
  <c r="L45" i="5"/>
  <c r="U36" i="5" a="1"/>
  <c r="U40" i="5" s="1"/>
  <c r="T36" i="5" a="1"/>
  <c r="T44" i="5" s="1"/>
  <c r="E33" i="5"/>
  <c r="E15" i="5"/>
  <c r="O5" i="5"/>
  <c r="N5" i="5"/>
  <c r="M5" i="5"/>
  <c r="L5" i="5"/>
  <c r="K5" i="5"/>
  <c r="J5" i="5"/>
  <c r="C5" i="5"/>
  <c r="B5" i="5"/>
  <c r="E43" i="1"/>
  <c r="G16" i="1"/>
  <c r="F16" i="1"/>
  <c r="E16" i="1"/>
  <c r="D16" i="1"/>
  <c r="C15" i="7"/>
  <c r="B15" i="7"/>
  <c r="C14" i="7"/>
  <c r="B14" i="7"/>
  <c r="C13" i="7"/>
  <c r="B13" i="7"/>
  <c r="E12" i="7"/>
  <c r="C12" i="7"/>
  <c r="B12" i="7"/>
  <c r="E11" i="7"/>
  <c r="B11" i="7"/>
  <c r="E10" i="7"/>
  <c r="B10" i="7"/>
  <c r="E9" i="7"/>
  <c r="B9" i="7"/>
  <c r="E8" i="7"/>
  <c r="B8" i="7"/>
  <c r="E7" i="7"/>
  <c r="B7" i="7"/>
  <c r="U43" i="5" l="1"/>
  <c r="T38" i="5"/>
  <c r="V36" i="5" s="1" a="1"/>
  <c r="T39" i="5"/>
  <c r="T41" i="5"/>
  <c r="T45" i="5"/>
  <c r="T37" i="5"/>
  <c r="U44" i="5"/>
  <c r="T40" i="5"/>
  <c r="T42" i="5"/>
  <c r="U37" i="5"/>
  <c r="U38" i="5"/>
  <c r="T36" i="5"/>
  <c r="T43" i="5"/>
  <c r="U41" i="5"/>
  <c r="U39" i="5"/>
  <c r="U42" i="5"/>
  <c r="U36" i="5"/>
  <c r="V42" i="5" l="1"/>
  <c r="F12" i="5" s="1"/>
  <c r="V41" i="5"/>
  <c r="F11" i="5" s="1"/>
  <c r="V43" i="5"/>
  <c r="F13" i="5" s="1"/>
  <c r="V40" i="5"/>
  <c r="F10" i="5" s="1"/>
  <c r="V39" i="5"/>
  <c r="F9" i="5" s="1"/>
  <c r="V44" i="5"/>
  <c r="F14" i="5" s="1"/>
  <c r="V38" i="5"/>
  <c r="F8" i="5" s="1"/>
  <c r="V36" i="5"/>
  <c r="F6" i="5" s="1"/>
  <c r="V37" i="5"/>
  <c r="F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200-000001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5" authorId="1" shapeId="0" xr:uid="{00000000-0006-0000-0200-000002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5" authorId="1" shapeId="0" xr:uid="{00000000-0006-0000-0200-000003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5" authorId="1" shapeId="0" xr:uid="{00000000-0006-0000-0200-000004000000}">
      <text>
        <r>
          <rPr>
            <sz val="10"/>
            <rFont val="Arial"/>
            <family val="2"/>
          </rPr>
          <t>Allowed Ctype
ELC (Electricity)</t>
        </r>
      </text>
    </comment>
    <comment ref="B20" authorId="2" shapeId="0" xr:uid="{00000000-0006-0000-0200-000005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0" authorId="0" shapeId="0" xr:uid="{00000000-0006-0000-0200-000006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0" authorId="1" shapeId="0" xr:uid="{00000000-0006-0000-0200-000007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0" authorId="1" shapeId="0" xr:uid="{00000000-0006-0000-0200-000008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0" authorId="1" shapeId="0" xr:uid="{00000000-0006-0000-0200-000009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300-000001000000}">
      <text>
        <r>
          <rPr>
            <sz val="10"/>
            <rFont val="Arial"/>
            <family val="2"/>
          </rPr>
          <t>Allowed TsLvl
ANNUAL (Annual level)
SEASON (Seasonal level)
WEEKLY (Weekly level)
DAYNITE (day and night level)</t>
        </r>
      </text>
    </comment>
    <comment ref="I5" authorId="1" shapeId="0" xr:uid="{00000000-0006-0000-0300-000002000000}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 shapeId="0" xr:uid="{00000000-0006-0000-0300-000003000000}">
      <text>
        <r>
          <rPr>
            <sz val="10"/>
            <rFont val="Arial"/>
            <family val="2"/>
          </rPr>
          <t>Allowed Vintage
NO (if empty by default mean NO)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C15" authorId="0" shapeId="0" xr:uid="{00000000-0006-0000-0500-000002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6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B23" authorId="1" shapeId="0" xr:uid="{00000000-0006-0000-0600-000002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3" authorId="2" shapeId="0" xr:uid="{00000000-0006-0000-0600-000003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3" authorId="0" shapeId="0" xr:uid="{00000000-0006-0000-0600-000004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3" authorId="0" shapeId="0" xr:uid="{00000000-0006-0000-0600-000005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3" authorId="0" shapeId="0" xr:uid="{00000000-0006-0000-0600-000006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<sst xmlns="http://schemas.openxmlformats.org/spreadsheetml/2006/main" count="901" uniqueCount="381">
  <si>
    <t>Renewable Energy Sources</t>
  </si>
  <si>
    <t>~FI_T</t>
  </si>
  <si>
    <t>TechName</t>
  </si>
  <si>
    <t>*TechDesc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</si>
  <si>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</si>
  <si>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</si>
  <si>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</si>
  <si>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</si>
  <si>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</si>
  <si>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</si>
  <si>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</si>
  <si>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</si>
  <si>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</si>
  <si>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</si>
  <si>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STOCK~2050</t>
  </si>
  <si>
    <t>PEAK</t>
  </si>
  <si>
    <t>AFA</t>
  </si>
  <si>
    <t>FIXOM</t>
  </si>
  <si>
    <t>VAROM</t>
  </si>
  <si>
    <t>\I: Technology Name</t>
  </si>
  <si>
    <t>Technology Description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</si>
  <si>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</si>
  <si>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</si>
  <si>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</si>
  <si>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</si>
  <si>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</si>
  <si>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</si>
  <si>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</si>
  <si>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[EUR/kW]</t>
  </si>
  <si>
    <t>Variable O&amp;M Costs [EUR/GJ]</t>
  </si>
  <si>
    <t>Existing Biomass power plant</t>
  </si>
  <si>
    <t>BIOMASS</t>
  </si>
  <si>
    <t>Existing Hidro pump system</t>
  </si>
  <si>
    <t>HIDRO</t>
  </si>
  <si>
    <t>Exiting Hidro turbines Run of river</t>
  </si>
  <si>
    <t>HIDRO_RUN</t>
  </si>
  <si>
    <t>HIDRO_STG_PUMP</t>
  </si>
  <si>
    <t>Existing Other</t>
  </si>
  <si>
    <t>OTHER</t>
  </si>
  <si>
    <t>WIND-ON</t>
  </si>
  <si>
    <t>SOLAR</t>
  </si>
  <si>
    <t>ELEC_MV_GRID</t>
  </si>
  <si>
    <t>ELEC_LV_GRID</t>
  </si>
  <si>
    <t>No tag - won't be read by Veda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</si>
  <si>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</si>
  <si>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</si>
  <si>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</si>
  <si>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</si>
  <si>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</si>
  <si>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</si>
  <si>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</si>
  <si>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</si>
  <si>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</si>
  <si>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</si>
  <si>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</si>
  <si>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</si>
  <si>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</si>
  <si>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</si>
  <si>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</si>
  <si>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</si>
  <si>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</si>
  <si>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</si>
  <si>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</si>
  <si>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</si>
  <si>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</si>
  <si>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OILGAS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</si>
  <si>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</si>
  <si>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</si>
  <si>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</si>
  <si>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</si>
  <si>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</si>
  <si>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</si>
  <si>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</si>
  <si>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</si>
  <si>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</si>
  <si>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</si>
  <si>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</si>
  <si>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</si>
  <si>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</si>
  <si>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</si>
  <si>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</si>
  <si>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</si>
  <si>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</si>
  <si>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Hidro pump</t>
  </si>
  <si>
    <t>Hidro run of river</t>
  </si>
  <si>
    <t>Hidro storage pump</t>
  </si>
  <si>
    <t>Onshore Wind Energy</t>
  </si>
  <si>
    <t>BIOGAS</t>
  </si>
  <si>
    <t>Solar Energy</t>
  </si>
  <si>
    <t>FUEL</t>
  </si>
  <si>
    <t>Fuel for engine</t>
  </si>
  <si>
    <t>HIDROGEN</t>
  </si>
  <si>
    <t>Hidrogen</t>
  </si>
  <si>
    <t>* Energy Balance / Bilans energii</t>
  </si>
  <si>
    <t>Table 1: Simple energy balance of Sardinia energy system in 2023</t>
  </si>
  <si>
    <t>Type of generating unit</t>
  </si>
  <si>
    <t>Generation unit type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</si>
  <si>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</si>
  <si>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</si>
  <si>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</si>
  <si>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</si>
  <si>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</si>
  <si>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</si>
  <si>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</si>
  <si>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</si>
  <si>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</si>
  <si>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</si>
  <si>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</si>
  <si>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</si>
  <si>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</si>
  <si>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</si>
  <si>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</si>
  <si>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t>mln m3</t>
  </si>
  <si>
    <t>kJ/m3</t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</si>
  <si>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</si>
  <si>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</si>
  <si>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</si>
  <si>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</si>
  <si>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</si>
  <si>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</si>
  <si>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</si>
  <si>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</si>
  <si>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</si>
  <si>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</si>
  <si>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</si>
  <si>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</si>
  <si>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</si>
  <si>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</si>
  <si>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</si>
  <si>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</si>
  <si>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</si>
  <si>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</si>
  <si>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</si>
  <si>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</si>
  <si>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</si>
  <si>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2020</t>
  </si>
  <si>
    <t>Tabela 2: Sprawności przesyłu i transformacji nośników energii w sieci w 2020 r.</t>
  </si>
  <si>
    <t xml:space="preserve">Energy </t>
  </si>
  <si>
    <t>Energy carrier</t>
  </si>
  <si>
    <t>Przesył i transformacja</t>
  </si>
  <si>
    <t>Sprawność</t>
  </si>
  <si>
    <t>Transmission and distribution</t>
  </si>
  <si>
    <t>Energia elektryczna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</si>
  <si>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</si>
  <si>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</si>
  <si>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</si>
  <si>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</si>
  <si>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</si>
  <si>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</si>
  <si>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Nośnik energii</t>
  </si>
  <si>
    <t>Jednostka</t>
  </si>
  <si>
    <t>Zapotrzebowanie końcowe</t>
  </si>
  <si>
    <t>Final energy demand</t>
  </si>
  <si>
    <t>[TWh]</t>
  </si>
  <si>
    <t>Source / Źródło:</t>
  </si>
  <si>
    <t>1) opracowanie własne na podstawie "Statystyka Elektroenergetyki Polskiej 2020" - Ministerstwo Klimatu i Środowiska, Agencja Rynku Energii S.A., Warszawa 2021.</t>
  </si>
  <si>
    <t>2) opracowanie własne na podstawie "Energetyka Cieplna w Liczbach 2021" - Urząd Regulacji Energetyki, Warszawa 2022.</t>
  </si>
  <si>
    <t>Define Commodities</t>
  </si>
  <si>
    <t>~FI_Comm</t>
  </si>
  <si>
    <t>ELEC_HV</t>
  </si>
  <si>
    <t>High Voltage Electricity (&gt;110 kV)</t>
  </si>
  <si>
    <t>DAYNITE</t>
  </si>
  <si>
    <t>ANNUAL</t>
  </si>
  <si>
    <t>ELC</t>
  </si>
  <si>
    <t>ELEC_MV</t>
  </si>
  <si>
    <t>Medium voltage Electricity (20 -60 kV)</t>
  </si>
  <si>
    <t>ELEC_LV</t>
  </si>
  <si>
    <t>Low Voltage Electricity (&lt; 1kV)</t>
  </si>
  <si>
    <t>Grid medium voltage</t>
  </si>
  <si>
    <t>Grid low voltage</t>
  </si>
  <si>
    <t>ELEC_LV_DIST</t>
  </si>
  <si>
    <t>Distribution Low Voltage Electricity (&lt; 1kV)</t>
  </si>
  <si>
    <t>ENV</t>
  </si>
  <si>
    <t>CO2</t>
  </si>
  <si>
    <t>Carbon Dioxide Emission</t>
  </si>
  <si>
    <t>\I:</t>
  </si>
  <si>
    <t>Copy from SUP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</si>
  <si>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</si>
  <si>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</si>
  <si>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</si>
  <si>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</si>
  <si>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</si>
  <si>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</si>
  <si>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</si>
  <si>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</si>
  <si>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</si>
  <si>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</si>
  <si>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</si>
  <si>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</si>
  <si>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</si>
  <si>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</si>
  <si>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</si>
  <si>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</si>
  <si>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</si>
  <si>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</si>
  <si>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</si>
  <si>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</si>
  <si>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</si>
  <si>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</si>
  <si>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Activity Unit</t>
  </si>
  <si>
    <t>Capacity Unit</t>
  </si>
  <si>
    <t>Primary Commodity Group</t>
  </si>
  <si>
    <t>Vintage Tracking</t>
  </si>
  <si>
    <t>SAR</t>
  </si>
  <si>
    <t>MIN_EX_WIND-ON</t>
  </si>
  <si>
    <t>Wind-On Energy Mine</t>
  </si>
  <si>
    <t>GW</t>
  </si>
  <si>
    <t>MIN_EX_PV</t>
  </si>
  <si>
    <t>Solar Energy Mine</t>
  </si>
  <si>
    <t>MIN_EX_AUTOPR_PV</t>
  </si>
  <si>
    <t xml:space="preserve">Autoproducer PV Electicity </t>
  </si>
  <si>
    <t>ELE</t>
  </si>
  <si>
    <t>ELE_EX_WIND-ON</t>
  </si>
  <si>
    <t>Existing Onshore Wind Turbines</t>
  </si>
  <si>
    <t>ELE_EX_AUTOPR_PV</t>
  </si>
  <si>
    <t>Existing autoproducer PV Elecrticity</t>
  </si>
  <si>
    <t>ELE_EX_AUTOPR_PV_RES</t>
  </si>
  <si>
    <t>Existing autoproducer residential PV Elecrticity</t>
  </si>
  <si>
    <t>ELE_EX_PV</t>
  </si>
  <si>
    <t>Existing Photovoltaics</t>
  </si>
  <si>
    <t>ELE_EX_HC</t>
  </si>
  <si>
    <t>Existing Hard Coal Power Plants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</si>
  <si>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</si>
  <si>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</si>
  <si>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</si>
  <si>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</si>
  <si>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</si>
  <si>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</si>
  <si>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</si>
  <si>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</si>
  <si>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STS</t>
  </si>
  <si>
    <t>ELE_EX_HIDRO_STORAGE_PUMP</t>
  </si>
  <si>
    <t>Existing Hidro pump Storage Capacity</t>
  </si>
  <si>
    <t>ELE_EX_OTHER</t>
  </si>
  <si>
    <t>IMP</t>
  </si>
  <si>
    <t>IMP_ELC_HV</t>
  </si>
  <si>
    <t>Import of Electricity</t>
  </si>
  <si>
    <t>EXP</t>
  </si>
  <si>
    <t>EXP_ELC_HV</t>
  </si>
  <si>
    <t>Export of Electicity</t>
  </si>
  <si>
    <t>PRE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</si>
  <si>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</si>
  <si>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</si>
  <si>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</si>
  <si>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</si>
  <si>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DISTRIBU_LV</t>
  </si>
  <si>
    <t>Electricity distribution to Low Voltage</t>
  </si>
  <si>
    <t>REFINARY</t>
  </si>
  <si>
    <t>Refinary</t>
  </si>
  <si>
    <t>PJ/a</t>
  </si>
  <si>
    <t>Available Process Sets</t>
  </si>
  <si>
    <t>Power Plant (Electricity Only)</t>
  </si>
  <si>
    <t>CHP</t>
  </si>
  <si>
    <t>Combined Heat &amp; Power Plant</t>
  </si>
  <si>
    <t>STG</t>
  </si>
  <si>
    <t>Timeslice Storage</t>
  </si>
  <si>
    <t>Generic Process</t>
  </si>
  <si>
    <t>DMD</t>
  </si>
  <si>
    <t>Demand Process</t>
  </si>
  <si>
    <t>Shoud have commodity of type DEM on Output</t>
  </si>
  <si>
    <t>INSERT DEMAND FOR SECTOR</t>
  </si>
  <si>
    <t>Import</t>
  </si>
  <si>
    <t>Commodity only at Output</t>
  </si>
  <si>
    <t>Eksport</t>
  </si>
  <si>
    <t>Commodity only at Input</t>
  </si>
  <si>
    <t>MIN</t>
  </si>
  <si>
    <t>Mining</t>
  </si>
  <si>
    <t>HPL</t>
  </si>
  <si>
    <t>Heat Only Plant</t>
  </si>
  <si>
    <t>* TechDesc</t>
  </si>
  <si>
    <t>CEFF</t>
  </si>
  <si>
    <t>Share-O</t>
  </si>
  <si>
    <t>STOCK~2023~2024</t>
  </si>
  <si>
    <t>Commodity Specific Efficiency</t>
  </si>
  <si>
    <t>Installed Capacity [PJ/a]</t>
  </si>
  <si>
    <t>t/a</t>
  </si>
  <si>
    <t>crude oil</t>
  </si>
  <si>
    <t>raffinery products</t>
  </si>
  <si>
    <t>PCI (GJ/t)</t>
  </si>
  <si>
    <t>crude</t>
  </si>
  <si>
    <t>Oil Gas liquid</t>
  </si>
  <si>
    <t>Jet fuel</t>
  </si>
  <si>
    <t>Oil fuel</t>
  </si>
  <si>
    <t>ethy and prop</t>
  </si>
  <si>
    <t>waste</t>
  </si>
  <si>
    <t>Power Plants</t>
  </si>
  <si>
    <t>AFA~2023~FX</t>
  </si>
  <si>
    <t>AFA~2025</t>
  </si>
  <si>
    <t>Alternative Syntax - one process</t>
  </si>
  <si>
    <t>Year</t>
  </si>
  <si>
    <t>STOCK</t>
  </si>
  <si>
    <t>Limit type [(in)equality sing]</t>
  </si>
  <si>
    <t>Fixed O&amp;M Costs [PLN/kW]</t>
  </si>
  <si>
    <t>Variable O&amp;M Costs [PLN/GJ]</t>
  </si>
  <si>
    <t>FX</t>
  </si>
  <si>
    <t>Transformation and Distribution Networks</t>
  </si>
  <si>
    <t>Stock</t>
  </si>
  <si>
    <t>Cap2Act</t>
  </si>
  <si>
    <t>INVCOST~2025</t>
  </si>
  <si>
    <t>INVCOST~2030</t>
  </si>
  <si>
    <t>INVCOST~2035</t>
  </si>
  <si>
    <t>INVCOST~2040</t>
  </si>
  <si>
    <t>INVCOST~2045</t>
  </si>
  <si>
    <t>INVCOST~2050</t>
  </si>
  <si>
    <t>ACT_BND~LO~2040</t>
  </si>
  <si>
    <t>ACT_BND~LO~2045</t>
  </si>
  <si>
    <t>ACT_BND~LO~2050</t>
  </si>
  <si>
    <t>NCAP_BND~LO~2040</t>
  </si>
  <si>
    <t>NCAP_BND~LO~2045</t>
  </si>
  <si>
    <t>NCAP_BND~LO~2050</t>
  </si>
  <si>
    <t>LOSSES</t>
  </si>
  <si>
    <t>Variable cost EUR/GJ</t>
  </si>
  <si>
    <t>Investiment Cost MEUR/GW</t>
  </si>
  <si>
    <t>Min distribuzione LV (ACT_BND~LO~2040)</t>
  </si>
  <si>
    <t>Min distribuzione LV (ACT_BND~LO~2045)</t>
  </si>
  <si>
    <t>Min distribuzione LV (ACT_BND~LO~2050)</t>
  </si>
  <si>
    <t>Capacità minima T&amp;D 1 GW (NCAP_BND~LO~2040)</t>
  </si>
  <si>
    <t>Capacità minima T&amp;D 1 GW (NCAP_BND~LO~2045)</t>
  </si>
  <si>
    <t>Capacità minima T&amp;D 1 GW (NCAP_BND~LO~2050)</t>
  </si>
  <si>
    <t>Magazyny energii | Energy storage</t>
  </si>
  <si>
    <t>Stock~2020~2050</t>
  </si>
  <si>
    <t>Stock~2023</t>
  </si>
  <si>
    <t>Stock~2025</t>
  </si>
  <si>
    <t>Stock~2030</t>
  </si>
  <si>
    <t>Stock~2050</t>
  </si>
  <si>
    <t>Peak</t>
  </si>
  <si>
    <t>COST</t>
  </si>
  <si>
    <t>ACT_BND~2023</t>
  </si>
  <si>
    <t>ACT_BND~2025</t>
  </si>
  <si>
    <t>ACT_BND~2030</t>
  </si>
  <si>
    <t>ACT_BND~2035</t>
  </si>
  <si>
    <t>ACT_BND~2040</t>
  </si>
  <si>
    <t>ACT_BND~2045</t>
  </si>
  <si>
    <t>ACT_BND~2050</t>
  </si>
  <si>
    <t>PJ/GW</t>
  </si>
  <si>
    <t>%</t>
  </si>
  <si>
    <t>EUR/GJ</t>
  </si>
  <si>
    <t>annual limit</t>
  </si>
  <si>
    <t>TWh/a</t>
  </si>
  <si>
    <t>maximum import in reality</t>
  </si>
  <si>
    <t>ADA</t>
  </si>
  <si>
    <t>Stock~2040</t>
  </si>
  <si>
    <t>PJ/ANNO</t>
  </si>
  <si>
    <t>TWh</t>
  </si>
  <si>
    <t>Sardinia exp TWh</t>
  </si>
  <si>
    <t>Comm-OUT-A</t>
  </si>
  <si>
    <t>S_EFF</t>
  </si>
  <si>
    <t>Stock~2020</t>
  </si>
  <si>
    <t>Stock~2035</t>
  </si>
  <si>
    <t>Stock~2045</t>
  </si>
  <si>
    <t>LIFE</t>
  </si>
  <si>
    <t>CommGrp</t>
  </si>
  <si>
    <t>NCAP_AFC~DAYNITE</t>
  </si>
  <si>
    <t>YEAR</t>
  </si>
  <si>
    <t>EUR/kW</t>
  </si>
  <si>
    <t>zl/GJ</t>
  </si>
  <si>
    <t>Existing Pumped Storage Capacity</t>
  </si>
  <si>
    <t>ACT</t>
  </si>
  <si>
    <t>Emission factor per chemical energy unit of fuel</t>
  </si>
  <si>
    <t>~PRCCOMEMI</t>
  </si>
  <si>
    <t>CRUDE OIL</t>
  </si>
  <si>
    <t>&lt;- Fuel Name as Column Header</t>
  </si>
  <si>
    <t>Commodity Name (Pollutant)</t>
  </si>
  <si>
    <t>Emission factor [kt/PJ]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</si>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</sst>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38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12"/>
      <color indexed="56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u/>
      <sz val="10"/>
      <name val="Arial"/>
      <family val="2"/>
    </font>
    <font>
      <u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9" fontId="27" fillId="0" borderId="0"/>
    <xf numFmtId="0" fontId="18" fillId="0" borderId="0"/>
    <xf numFmtId="9" fontId="27" fillId="0" borderId="0"/>
    <xf numFmtId="0" fontId="19" fillId="0" borderId="0"/>
    <xf numFmtId="0" fontId="20" fillId="0" borderId="0"/>
    <xf numFmtId="0" fontId="27" fillId="0" borderId="0"/>
    <xf numFmtId="0" fontId="18" fillId="0" borderId="0"/>
    <xf numFmtId="9" fontId="27" fillId="0" borderId="0"/>
    <xf numFmtId="0" fontId="27" fillId="0" borderId="0"/>
    <xf numFmtId="9" fontId="27" fillId="0" borderId="0"/>
    <xf numFmtId="0" fontId="27" fillId="0" borderId="0"/>
    <xf numFmtId="0" fontId="27" fillId="0" borderId="0"/>
    <xf numFmtId="0" fontId="3" fillId="0" borderId="0"/>
  </cellStyleXfs>
  <cellXfs count="229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1" fillId="8" borderId="7" xfId="0" applyFont="1" applyFill="1" applyBorder="1"/>
    <xf numFmtId="2" fontId="11" fillId="9" borderId="0" xfId="0" applyNumberFormat="1" applyFont="1" applyFill="1"/>
    <xf numFmtId="164" fontId="11" fillId="8" borderId="0" xfId="0" applyNumberFormat="1" applyFont="1" applyFill="1"/>
    <xf numFmtId="165" fontId="11" fillId="8" borderId="0" xfId="0" applyNumberFormat="1" applyFont="1" applyFill="1"/>
    <xf numFmtId="0" fontId="11" fillId="8" borderId="0" xfId="0" applyFont="1" applyFill="1"/>
    <xf numFmtId="164" fontId="11" fillId="9" borderId="0" xfId="0" applyNumberFormat="1" applyFont="1" applyFill="1"/>
    <xf numFmtId="0" fontId="11" fillId="9" borderId="0" xfId="0" applyFont="1" applyFill="1"/>
    <xf numFmtId="2" fontId="11" fillId="8" borderId="24" xfId="0" applyNumberFormat="1" applyFont="1" applyFill="1" applyBorder="1"/>
    <xf numFmtId="164" fontId="11" fillId="8" borderId="24" xfId="0" applyNumberFormat="1" applyFont="1" applyFill="1" applyBorder="1"/>
    <xf numFmtId="0" fontId="11" fillId="8" borderId="24" xfId="0" applyFont="1" applyFill="1" applyBorder="1"/>
    <xf numFmtId="166" fontId="11" fillId="12" borderId="23" xfId="1" applyNumberFormat="1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 vertical="center" wrapText="1"/>
    </xf>
    <xf numFmtId="166" fontId="11" fillId="12" borderId="23" xfId="1" applyNumberFormat="1" applyFont="1" applyFill="1" applyBorder="1" applyAlignment="1">
      <alignment horizontal="center" vertical="center" wrapText="1"/>
    </xf>
    <xf numFmtId="166" fontId="16" fillId="11" borderId="22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6" fontId="3" fillId="3" borderId="4" xfId="1" applyNumberForma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3" fillId="0" borderId="0" xfId="3"/>
    <xf numFmtId="0" fontId="3" fillId="0" borderId="0" xfId="3" applyAlignment="1">
      <alignment horizontal="right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right"/>
    </xf>
    <xf numFmtId="0" fontId="15" fillId="0" borderId="5" xfId="0" applyFont="1" applyBorder="1" applyAlignment="1">
      <alignment horizontal="left"/>
    </xf>
    <xf numFmtId="0" fontId="14" fillId="4" borderId="0" xfId="0" applyFont="1" applyFill="1"/>
    <xf numFmtId="0" fontId="13" fillId="0" borderId="0" xfId="0" applyFont="1"/>
    <xf numFmtId="166" fontId="2" fillId="4" borderId="0" xfId="0" applyNumberFormat="1" applyFont="1" applyFill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5" borderId="0" xfId="0" applyFill="1"/>
    <xf numFmtId="0" fontId="3" fillId="5" borderId="0" xfId="0" applyFont="1" applyFill="1"/>
    <xf numFmtId="164" fontId="3" fillId="5" borderId="0" xfId="0" applyNumberFormat="1" applyFont="1" applyFill="1"/>
    <xf numFmtId="166" fontId="0" fillId="5" borderId="0" xfId="0" applyNumberFormat="1" applyFill="1"/>
    <xf numFmtId="166" fontId="11" fillId="5" borderId="0" xfId="0" applyNumberFormat="1" applyFont="1" applyFill="1"/>
    <xf numFmtId="165" fontId="0" fillId="0" borderId="0" xfId="0" applyNumberFormat="1"/>
    <xf numFmtId="0" fontId="10" fillId="0" borderId="0" xfId="2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7" fontId="11" fillId="0" borderId="0" xfId="9" applyNumberFormat="1" applyFont="1" applyAlignment="1">
      <alignment horizontal="right" vertical="center"/>
    </xf>
    <xf numFmtId="167" fontId="11" fillId="0" borderId="0" xfId="9" applyNumberFormat="1" applyFont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0" fontId="22" fillId="4" borderId="0" xfId="0" quotePrefix="1" applyFont="1" applyFill="1" applyAlignment="1">
      <alignment horizontal="left"/>
    </xf>
    <xf numFmtId="0" fontId="15" fillId="0" borderId="0" xfId="0" applyFont="1" applyAlignment="1">
      <alignment horizontal="left"/>
    </xf>
    <xf numFmtId="0" fontId="3" fillId="7" borderId="0" xfId="0" applyFont="1" applyFill="1"/>
    <xf numFmtId="0" fontId="0" fillId="7" borderId="0" xfId="0" applyFill="1"/>
    <xf numFmtId="0" fontId="3" fillId="7" borderId="6" xfId="0" applyFont="1" applyFill="1" applyBorder="1"/>
    <xf numFmtId="0" fontId="11" fillId="7" borderId="6" xfId="0" applyFont="1" applyFill="1" applyBorder="1"/>
    <xf numFmtId="166" fontId="0" fillId="7" borderId="0" xfId="0" applyNumberFormat="1" applyFill="1"/>
    <xf numFmtId="166" fontId="11" fillId="7" borderId="0" xfId="0" applyNumberFormat="1" applyFont="1" applyFill="1"/>
    <xf numFmtId="167" fontId="23" fillId="0" borderId="1" xfId="9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1" fillId="0" borderId="10" xfId="10" applyFont="1" applyBorder="1" applyAlignment="1">
      <alignment horizontal="left" vertical="center"/>
    </xf>
    <xf numFmtId="0" fontId="21" fillId="0" borderId="12" xfId="0" applyFont="1" applyBorder="1" applyAlignment="1">
      <alignment horizontal="left"/>
    </xf>
    <xf numFmtId="167" fontId="23" fillId="0" borderId="2" xfId="9" applyNumberFormat="1" applyFont="1" applyBorder="1" applyAlignment="1">
      <alignment horizontal="center" vertical="center"/>
    </xf>
    <xf numFmtId="167" fontId="21" fillId="0" borderId="2" xfId="9" applyNumberFormat="1" applyFont="1" applyBorder="1" applyAlignment="1">
      <alignment horizontal="center" vertical="center"/>
    </xf>
    <xf numFmtId="167" fontId="23" fillId="0" borderId="13" xfId="9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3" fillId="0" borderId="10" xfId="0" applyFont="1" applyBorder="1"/>
    <xf numFmtId="164" fontId="23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11" fillId="7" borderId="6" xfId="0" applyNumberFormat="1" applyFont="1" applyFill="1" applyBorder="1"/>
    <xf numFmtId="168" fontId="11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3" fillId="5" borderId="0" xfId="0" applyNumberFormat="1" applyFont="1" applyFill="1"/>
    <xf numFmtId="2" fontId="11" fillId="7" borderId="6" xfId="0" applyNumberFormat="1" applyFont="1" applyFill="1" applyBorder="1"/>
    <xf numFmtId="0" fontId="11" fillId="7" borderId="6" xfId="0" applyFont="1" applyFill="1" applyBorder="1" applyAlignment="1">
      <alignment horizontal="left"/>
    </xf>
    <xf numFmtId="0" fontId="16" fillId="0" borderId="0" xfId="0" applyFont="1"/>
    <xf numFmtId="0" fontId="11" fillId="8" borderId="14" xfId="0" applyFont="1" applyFill="1" applyBorder="1"/>
    <xf numFmtId="0" fontId="2" fillId="4" borderId="0" xfId="0" quotePrefix="1" applyFont="1" applyFill="1"/>
    <xf numFmtId="0" fontId="6" fillId="4" borderId="0" xfId="0" applyFont="1" applyFill="1"/>
    <xf numFmtId="0" fontId="25" fillId="4" borderId="0" xfId="0" quotePrefix="1" applyFont="1" applyFill="1" applyAlignment="1">
      <alignment horizontal="left"/>
    </xf>
    <xf numFmtId="0" fontId="10" fillId="0" borderId="0" xfId="2" applyFont="1" applyAlignment="1">
      <alignment horizontal="left"/>
    </xf>
    <xf numFmtId="0" fontId="2" fillId="4" borderId="0" xfId="0" applyFont="1" applyFill="1" applyAlignment="1">
      <alignment readingOrder="1"/>
    </xf>
    <xf numFmtId="164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21" fillId="0" borderId="15" xfId="10" applyFont="1" applyBorder="1" applyAlignment="1">
      <alignment horizontal="left" vertical="center"/>
    </xf>
    <xf numFmtId="0" fontId="21" fillId="0" borderId="16" xfId="0" applyFont="1" applyBorder="1" applyAlignment="1">
      <alignment horizontal="left"/>
    </xf>
    <xf numFmtId="0" fontId="23" fillId="0" borderId="15" xfId="0" applyFont="1" applyBorder="1"/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0" borderId="0" xfId="0" applyFont="1"/>
    <xf numFmtId="166" fontId="3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3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3" fillId="3" borderId="0" xfId="1" applyNumberFormat="1" applyFill="1" applyAlignment="1">
      <alignment horizontal="center" vertical="center" wrapText="1"/>
    </xf>
    <xf numFmtId="166" fontId="28" fillId="8" borderId="14" xfId="0" applyNumberFormat="1" applyFont="1" applyFill="1" applyBorder="1" applyAlignment="1">
      <alignment horizontal="left"/>
    </xf>
    <xf numFmtId="166" fontId="28" fillId="8" borderId="0" xfId="0" applyNumberFormat="1" applyFont="1" applyFill="1" applyAlignment="1">
      <alignment horizontal="left"/>
    </xf>
    <xf numFmtId="166" fontId="28" fillId="8" borderId="14" xfId="0" applyNumberFormat="1" applyFont="1" applyFill="1" applyBorder="1"/>
    <xf numFmtId="166" fontId="28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29" fillId="0" borderId="1" xfId="9" applyNumberFormat="1" applyFont="1" applyBorder="1" applyAlignment="1">
      <alignment horizontal="center" vertical="center"/>
    </xf>
    <xf numFmtId="167" fontId="29" fillId="0" borderId="11" xfId="9" applyNumberFormat="1" applyFont="1" applyBorder="1" applyAlignment="1">
      <alignment horizontal="center" vertical="center"/>
    </xf>
    <xf numFmtId="166" fontId="28" fillId="7" borderId="0" xfId="0" applyNumberFormat="1" applyFont="1" applyFill="1" applyAlignment="1">
      <alignment horizontal="left"/>
    </xf>
    <xf numFmtId="166" fontId="28" fillId="7" borderId="0" xfId="0" applyNumberFormat="1" applyFont="1" applyFill="1"/>
    <xf numFmtId="166" fontId="28" fillId="5" borderId="0" xfId="0" applyNumberFormat="1" applyFont="1" applyFill="1" applyAlignment="1">
      <alignment horizontal="left"/>
    </xf>
    <xf numFmtId="166" fontId="28" fillId="5" borderId="0" xfId="0" applyNumberFormat="1" applyFont="1" applyFill="1"/>
    <xf numFmtId="167" fontId="32" fillId="0" borderId="1" xfId="9" applyNumberFormat="1" applyFont="1" applyBorder="1" applyAlignment="1">
      <alignment horizontal="center" vertical="center"/>
    </xf>
    <xf numFmtId="164" fontId="3" fillId="7" borderId="0" xfId="0" applyNumberFormat="1" applyFont="1" applyFill="1"/>
    <xf numFmtId="2" fontId="11" fillId="7" borderId="0" xfId="0" applyNumberFormat="1" applyFont="1" applyFill="1"/>
    <xf numFmtId="0" fontId="11" fillId="7" borderId="0" xfId="0" applyFont="1" applyFill="1"/>
    <xf numFmtId="166" fontId="3" fillId="5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wrapText="1"/>
    </xf>
    <xf numFmtId="164" fontId="3" fillId="7" borderId="0" xfId="1" applyNumberFormat="1" applyFill="1" applyAlignment="1">
      <alignment horizontal="right" wrapText="1"/>
    </xf>
    <xf numFmtId="2" fontId="3" fillId="7" borderId="0" xfId="1" applyNumberFormat="1" applyFill="1" applyAlignment="1">
      <alignment horizontal="right" wrapText="1"/>
    </xf>
    <xf numFmtId="164" fontId="11" fillId="7" borderId="0" xfId="0" applyNumberFormat="1" applyFont="1" applyFill="1"/>
    <xf numFmtId="164" fontId="33" fillId="5" borderId="0" xfId="0" applyNumberFormat="1" applyFont="1" applyFill="1"/>
    <xf numFmtId="164" fontId="33" fillId="7" borderId="6" xfId="0" applyNumberFormat="1" applyFont="1" applyFill="1" applyBorder="1"/>
    <xf numFmtId="2" fontId="3" fillId="7" borderId="6" xfId="0" applyNumberFormat="1" applyFont="1" applyFill="1" applyBorder="1" applyAlignment="1">
      <alignment horizontal="right"/>
    </xf>
    <xf numFmtId="2" fontId="11" fillId="8" borderId="0" xfId="0" applyNumberFormat="1" applyFont="1" applyFill="1"/>
    <xf numFmtId="164" fontId="23" fillId="0" borderId="11" xfId="11" applyNumberFormat="1" applyFont="1" applyBorder="1" applyAlignment="1">
      <alignment horizontal="center" vertical="center"/>
    </xf>
    <xf numFmtId="0" fontId="11" fillId="5" borderId="0" xfId="0" applyFont="1" applyFill="1"/>
    <xf numFmtId="164" fontId="11" fillId="5" borderId="0" xfId="0" applyNumberFormat="1" applyFont="1" applyFill="1"/>
    <xf numFmtId="2" fontId="11" fillId="5" borderId="0" xfId="0" applyNumberFormat="1" applyFont="1" applyFill="1"/>
    <xf numFmtId="2" fontId="3" fillId="5" borderId="0" xfId="1" applyNumberFormat="1" applyFill="1" applyAlignment="1">
      <alignment horizontal="right" wrapText="1"/>
    </xf>
    <xf numFmtId="0" fontId="34" fillId="4" borderId="0" xfId="16" applyFont="1" applyFill="1"/>
    <xf numFmtId="0" fontId="2" fillId="4" borderId="0" xfId="16" applyFont="1" applyFill="1"/>
    <xf numFmtId="0" fontId="5" fillId="0" borderId="0" xfId="16" applyFont="1"/>
    <xf numFmtId="0" fontId="16" fillId="11" borderId="22" xfId="17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 wrapText="1"/>
    </xf>
    <xf numFmtId="0" fontId="16" fillId="11" borderId="22" xfId="17" applyFont="1" applyFill="1" applyBorder="1" applyAlignment="1">
      <alignment horizontal="center" vertical="center" wrapText="1"/>
    </xf>
    <xf numFmtId="0" fontId="11" fillId="12" borderId="26" xfId="18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center" vertical="center" wrapText="1"/>
    </xf>
    <xf numFmtId="0" fontId="11" fillId="9" borderId="7" xfId="0" applyFont="1" applyFill="1" applyBorder="1"/>
    <xf numFmtId="0" fontId="16" fillId="13" borderId="22" xfId="17" applyFont="1" applyFill="1" applyBorder="1" applyAlignment="1">
      <alignment horizontal="center" vertical="center"/>
    </xf>
    <xf numFmtId="0" fontId="35" fillId="14" borderId="27" xfId="17" applyFont="1" applyFill="1" applyBorder="1" applyAlignment="1">
      <alignment horizontal="center" vertical="center" wrapText="1"/>
    </xf>
    <xf numFmtId="0" fontId="35" fillId="11" borderId="22" xfId="17" applyFont="1" applyFill="1" applyBorder="1" applyAlignment="1">
      <alignment horizontal="center" vertical="center" wrapText="1"/>
    </xf>
    <xf numFmtId="0" fontId="11" fillId="13" borderId="24" xfId="0" applyFont="1" applyFill="1" applyBorder="1"/>
    <xf numFmtId="166" fontId="3" fillId="0" borderId="0" xfId="1" applyNumberFormat="1" applyAlignment="1">
      <alignment horizontal="center" vertical="center" wrapText="1"/>
    </xf>
    <xf numFmtId="0" fontId="28" fillId="0" borderId="0" xfId="0" applyFont="1"/>
    <xf numFmtId="0" fontId="0" fillId="0" borderId="5" xfId="0" applyBorder="1"/>
    <xf numFmtId="0" fontId="36" fillId="7" borderId="6" xfId="0" applyFont="1" applyFill="1" applyBorder="1"/>
    <xf numFmtId="0" fontId="36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3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7" borderId="29" xfId="0" applyFont="1" applyFill="1" applyBorder="1"/>
    <xf numFmtId="2" fontId="31" fillId="7" borderId="0" xfId="0" applyNumberFormat="1" applyFont="1" applyFill="1" applyAlignment="1">
      <alignment horizontal="right"/>
    </xf>
    <xf numFmtId="166" fontId="3" fillId="2" borderId="4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164" fontId="11" fillId="7" borderId="7" xfId="0" applyNumberFormat="1" applyFont="1" applyFill="1" applyBorder="1"/>
    <xf numFmtId="2" fontId="13" fillId="5" borderId="0" xfId="0" applyNumberFormat="1" applyFont="1" applyFill="1" applyAlignment="1">
      <alignment horizontal="right"/>
    </xf>
    <xf numFmtId="0" fontId="36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1" fillId="0" borderId="0" xfId="0" applyNumberFormat="1" applyFont="1"/>
    <xf numFmtId="166" fontId="0" fillId="0" borderId="0" xfId="0" quotePrefix="1" applyNumberFormat="1" applyAlignment="1">
      <alignment horizontal="left"/>
    </xf>
    <xf numFmtId="166" fontId="28" fillId="0" borderId="0" xfId="0" applyNumberFormat="1" applyFont="1" applyAlignment="1">
      <alignment horizontal="left"/>
    </xf>
    <xf numFmtId="0" fontId="13" fillId="6" borderId="0" xfId="4" applyFont="1" applyFill="1" applyAlignment="1">
      <alignment horizontal="left"/>
    </xf>
    <xf numFmtId="0" fontId="3" fillId="5" borderId="29" xfId="0" applyFont="1" applyFill="1" applyBorder="1"/>
    <xf numFmtId="2" fontId="31" fillId="5" borderId="0" xfId="0" applyNumberFormat="1" applyFont="1" applyFill="1" applyAlignment="1">
      <alignment horizontal="right"/>
    </xf>
    <xf numFmtId="166" fontId="3" fillId="3" borderId="25" xfId="1" applyNumberFormat="1" applyFill="1" applyBorder="1" applyAlignment="1">
      <alignment horizontal="center" vertical="center" wrapText="1"/>
    </xf>
    <xf numFmtId="0" fontId="3" fillId="5" borderId="28" xfId="0" applyFont="1" applyFill="1" applyBorder="1"/>
    <xf numFmtId="2" fontId="30" fillId="5" borderId="5" xfId="0" applyNumberFormat="1" applyFont="1" applyFill="1" applyBorder="1" applyAlignment="1">
      <alignment horizontal="right"/>
    </xf>
    <xf numFmtId="2" fontId="31" fillId="5" borderId="5" xfId="0" applyNumberFormat="1" applyFont="1" applyFill="1" applyBorder="1" applyAlignment="1">
      <alignment horizontal="right"/>
    </xf>
    <xf numFmtId="0" fontId="13" fillId="5" borderId="5" xfId="4" applyFont="1" applyFill="1" applyBorder="1" applyAlignment="1">
      <alignment horizontal="left"/>
    </xf>
    <xf numFmtId="166" fontId="11" fillId="0" borderId="6" xfId="0" applyNumberFormat="1" applyFont="1" applyBorder="1"/>
    <xf numFmtId="166" fontId="3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37" fillId="5" borderId="0" xfId="0" applyNumberFormat="1" applyFont="1" applyFill="1"/>
    <xf numFmtId="164" fontId="33" fillId="7" borderId="0" xfId="0" applyNumberFormat="1" applyFont="1" applyFill="1"/>
    <xf numFmtId="2" fontId="3" fillId="7" borderId="0" xfId="0" applyNumberFormat="1" applyFont="1" applyFill="1"/>
    <xf numFmtId="166" fontId="3" fillId="7" borderId="5" xfId="0" applyNumberFormat="1" applyFont="1" applyFill="1" applyBorder="1"/>
    <xf numFmtId="164" fontId="3" fillId="7" borderId="0" xfId="0" applyNumberFormat="1" applyFont="1" applyFill="1" applyAlignment="1">
      <alignment horizontal="left"/>
    </xf>
    <xf numFmtId="0" fontId="28" fillId="8" borderId="0" xfId="0" applyFont="1" applyFill="1"/>
    <xf numFmtId="164" fontId="28" fillId="8" borderId="0" xfId="0" applyNumberFormat="1" applyFont="1" applyFill="1"/>
    <xf numFmtId="0" fontId="28" fillId="7" borderId="0" xfId="0" applyFont="1" applyFill="1"/>
    <xf numFmtId="164" fontId="28" fillId="7" borderId="0" xfId="0" applyNumberFormat="1" applyFont="1" applyFill="1"/>
    <xf numFmtId="0" fontId="3" fillId="5" borderId="4" xfId="0" applyFont="1" applyFill="1" applyBorder="1"/>
    <xf numFmtId="0" fontId="13" fillId="5" borderId="4" xfId="4" applyFont="1" applyFill="1" applyBorder="1" applyAlignment="1">
      <alignment horizontal="left"/>
    </xf>
    <xf numFmtId="2" fontId="13" fillId="5" borderId="4" xfId="0" applyNumberFormat="1" applyFont="1" applyFill="1" applyBorder="1" applyAlignment="1">
      <alignment horizontal="right"/>
    </xf>
    <xf numFmtId="2" fontId="31" fillId="5" borderId="4" xfId="0" applyNumberFormat="1" applyFont="1" applyFill="1" applyBorder="1" applyAlignment="1">
      <alignment horizontal="right"/>
    </xf>
    <xf numFmtId="166" fontId="3" fillId="3" borderId="4" xfId="1" applyNumberFormat="1" applyFill="1" applyBorder="1" applyAlignment="1">
      <alignment horizontal="center" vertical="center" wrapText="1"/>
    </xf>
    <xf numFmtId="0" fontId="0" fillId="0" borderId="4" xfId="0" applyBorder="1"/>
    <xf numFmtId="0" fontId="21" fillId="0" borderId="30" xfId="0" applyFont="1" applyBorder="1" applyAlignment="1">
      <alignment horizontal="center" vertical="center"/>
    </xf>
    <xf numFmtId="0" fontId="0" fillId="0" borderId="17" xfId="0" applyBorder="1"/>
    <xf numFmtId="0" fontId="21" fillId="0" borderId="8" xfId="0" applyFont="1" applyBorder="1" applyAlignment="1">
      <alignment horizontal="center" vertical="center"/>
    </xf>
    <xf numFmtId="0" fontId="0" fillId="0" borderId="18" xfId="0" applyBorder="1"/>
    <xf numFmtId="0" fontId="21" fillId="0" borderId="8" xfId="0" applyFont="1" applyBorder="1" applyAlignment="1">
      <alignment horizontal="center" vertical="center" wrapText="1"/>
    </xf>
    <xf numFmtId="0" fontId="0" fillId="0" borderId="21" xfId="0" applyBorder="1"/>
    <xf numFmtId="0" fontId="21" fillId="0" borderId="30" xfId="0" applyFont="1" applyBorder="1" applyAlignment="1">
      <alignment horizontal="center" vertical="center" wrapText="1"/>
    </xf>
    <xf numFmtId="0" fontId="0" fillId="0" borderId="20" xfId="0" applyBorder="1"/>
    <xf numFmtId="0" fontId="24" fillId="10" borderId="3" xfId="0" applyFont="1" applyFill="1" applyBorder="1" applyAlignment="1">
      <alignment horizontal="center"/>
    </xf>
    <xf numFmtId="0" fontId="0" fillId="0" borderId="3" xfId="0" applyBorder="1"/>
    <xf numFmtId="0" fontId="24" fillId="10" borderId="0" xfId="0" applyFont="1" applyFill="1" applyAlignment="1">
      <alignment horizontal="center"/>
    </xf>
    <xf numFmtId="0" fontId="0" fillId="0" borderId="0" xfId="0"/>
    <xf numFmtId="166" fontId="3" fillId="3" borderId="25" xfId="1" applyNumberFormat="1" applyFill="1" applyBorder="1" applyAlignment="1">
      <alignment horizontal="center" vertical="center" wrapText="1"/>
    </xf>
    <xf numFmtId="0" fontId="0" fillId="0" borderId="25" xfId="0" applyBorder="1"/>
  </cellXfs>
  <cellStyles count="19">
    <cellStyle name="Normal - Style1 2 2 3" xfId="16" xr:uid="{00000000-0005-0000-0000-000010000000}"/>
    <cellStyle name="Normal 10" xfId="1" xr:uid="{00000000-0005-0000-0000-000001000000}"/>
    <cellStyle name="Normal 10 15 2" xfId="18" xr:uid="{00000000-0005-0000-0000-000012000000}"/>
    <cellStyle name="Normal 2" xfId="5" xr:uid="{00000000-0005-0000-0000-000005000000}"/>
    <cellStyle name="Normal 3" xfId="2" xr:uid="{00000000-0005-0000-0000-000002000000}"/>
    <cellStyle name="Normal 39 2 2" xfId="17" xr:uid="{00000000-0005-0000-0000-000011000000}"/>
    <cellStyle name="Normal 4" xfId="3" xr:uid="{00000000-0005-0000-0000-000003000000}"/>
    <cellStyle name="Normal 5" xfId="11" xr:uid="{00000000-0005-0000-0000-00000B000000}"/>
    <cellStyle name="Normal_MIN" xfId="14" xr:uid="{00000000-0005-0000-0000-00000E000000}"/>
    <cellStyle name="Normale" xfId="0" builtinId="0"/>
    <cellStyle name="Normalny 2" xfId="4" xr:uid="{00000000-0005-0000-0000-000004000000}"/>
    <cellStyle name="Normalny 43" xfId="7" xr:uid="{00000000-0005-0000-0000-000007000000}"/>
    <cellStyle name="Normalny 43 2" xfId="12" xr:uid="{00000000-0005-0000-0000-00000C000000}"/>
    <cellStyle name="Normalny_S301-339-05" xfId="9" xr:uid="{00000000-0005-0000-0000-000009000000}"/>
    <cellStyle name="Normalny_T206" xfId="10" xr:uid="{00000000-0005-0000-0000-00000A000000}"/>
    <cellStyle name="Per cent 2" xfId="6" xr:uid="{00000000-0005-0000-0000-000006000000}"/>
    <cellStyle name="Percentuale" xfId="8" builtinId="5"/>
    <cellStyle name="Percentuale 2" xfId="13" xr:uid="{00000000-0005-0000-0000-00000D000000}"/>
    <cellStyle name="Procentowy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customHeight="1" x14ac:dyDescent="0.2">
      <c r="B2" s="59" t="s">
        <v>93</v>
      </c>
      <c r="C2" s="59"/>
    </row>
    <row r="4" spans="2:10" x14ac:dyDescent="0.2">
      <c r="B4" s="69"/>
      <c r="C4" s="69"/>
    </row>
    <row r="5" spans="2:10" ht="13.5" customHeight="1" thickBot="1" x14ac:dyDescent="0.25">
      <c r="B5" s="69" t="s">
        <v>94</v>
      </c>
      <c r="C5" s="69"/>
    </row>
    <row r="6" spans="2:10" ht="51" customHeight="1" x14ac:dyDescent="0.2">
      <c r="B6" s="221" t="s">
        <v>95</v>
      </c>
      <c r="C6" s="219" t="s">
        <v>96</v>
      </c>
      <c r="D6" s="72" t="s">
        <v>97</v>
      </c>
      <c r="E6" s="72" t="s">
        <v>98</v>
      </c>
      <c r="F6" s="72" t="s">
        <v>99</v>
      </c>
      <c r="G6" s="72" t="s">
        <v>100</v>
      </c>
      <c r="H6" s="72" t="s">
        <v>101</v>
      </c>
      <c r="I6" s="72" t="s">
        <v>100</v>
      </c>
      <c r="J6" s="73" t="s">
        <v>101</v>
      </c>
    </row>
    <row r="7" spans="2:10" ht="51" customHeight="1" x14ac:dyDescent="0.2">
      <c r="B7" s="222"/>
      <c r="C7" s="220"/>
      <c r="D7" s="20" t="s">
        <v>102</v>
      </c>
      <c r="E7" s="20" t="s">
        <v>103</v>
      </c>
      <c r="F7" s="20" t="s">
        <v>104</v>
      </c>
      <c r="G7" s="20" t="s">
        <v>105</v>
      </c>
      <c r="H7" s="20" t="s">
        <v>106</v>
      </c>
      <c r="I7" s="20" t="s">
        <v>105</v>
      </c>
      <c r="J7" s="20" t="s">
        <v>106</v>
      </c>
    </row>
    <row r="8" spans="2:10" ht="15.75" customHeight="1" x14ac:dyDescent="0.2">
      <c r="B8" s="216"/>
      <c r="C8" s="218"/>
      <c r="D8" s="68" t="s">
        <v>107</v>
      </c>
      <c r="E8" s="68" t="s">
        <v>108</v>
      </c>
      <c r="F8" s="68" t="s">
        <v>109</v>
      </c>
      <c r="G8" s="68" t="s">
        <v>110</v>
      </c>
      <c r="H8" s="68" t="s">
        <v>111</v>
      </c>
      <c r="I8" s="68" t="s">
        <v>112</v>
      </c>
      <c r="J8" s="74" t="s">
        <v>113</v>
      </c>
    </row>
    <row r="9" spans="2:10" x14ac:dyDescent="0.2">
      <c r="B9" s="75" t="s">
        <v>114</v>
      </c>
      <c r="C9" s="108" t="s">
        <v>115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116</v>
      </c>
      <c r="C10" s="108" t="s">
        <v>117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118</v>
      </c>
      <c r="C11" s="108" t="s">
        <v>119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120</v>
      </c>
      <c r="C12" s="108" t="s">
        <v>121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122</v>
      </c>
      <c r="C13" s="108" t="s">
        <v>123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124</v>
      </c>
      <c r="C14" s="108" t="s">
        <v>125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126</v>
      </c>
      <c r="C15" s="108" t="s">
        <v>127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customHeight="1" thickBot="1" x14ac:dyDescent="0.25">
      <c r="B16" s="76" t="s">
        <v>128</v>
      </c>
      <c r="C16" s="109" t="s">
        <v>129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130</v>
      </c>
      <c r="C17" s="71"/>
    </row>
    <row r="18" spans="2:16" x14ac:dyDescent="0.2">
      <c r="B18" s="71" t="s">
        <v>131</v>
      </c>
      <c r="C18" s="71"/>
    </row>
    <row r="19" spans="2:16" x14ac:dyDescent="0.2">
      <c r="B19" s="113" t="s">
        <v>132</v>
      </c>
      <c r="C19" s="71"/>
    </row>
    <row r="20" spans="2:16" x14ac:dyDescent="0.2">
      <c r="B20" s="71" t="s">
        <v>133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customHeight="1" x14ac:dyDescent="0.2">
      <c r="B23" s="59" t="s">
        <v>134</v>
      </c>
      <c r="C23" s="59"/>
      <c r="D23" s="69"/>
      <c r="E23" s="69"/>
      <c r="F23" s="69"/>
    </row>
    <row r="25" spans="2:16" x14ac:dyDescent="0.2">
      <c r="B25" s="69" t="s">
        <v>135</v>
      </c>
      <c r="C25" s="69"/>
      <c r="D25" s="69"/>
      <c r="E25" s="69"/>
      <c r="F25" s="69"/>
    </row>
    <row r="26" spans="2:16" ht="13.5" customHeight="1" thickBot="1" x14ac:dyDescent="0.25">
      <c r="B26" s="69" t="s">
        <v>136</v>
      </c>
      <c r="C26" s="69"/>
      <c r="D26" s="69"/>
      <c r="E26" s="69"/>
      <c r="F26" s="69"/>
    </row>
    <row r="27" spans="2:16" ht="31.7" customHeight="1" x14ac:dyDescent="0.2">
      <c r="B27" s="215" t="s">
        <v>137</v>
      </c>
      <c r="C27" s="217" t="s">
        <v>138</v>
      </c>
      <c r="D27" s="72" t="s">
        <v>139</v>
      </c>
      <c r="E27" s="80" t="s">
        <v>140</v>
      </c>
      <c r="F27" s="69"/>
    </row>
    <row r="28" spans="2:16" ht="31.7" customHeight="1" x14ac:dyDescent="0.2">
      <c r="B28" s="216"/>
      <c r="C28" s="218"/>
      <c r="D28" s="20" t="s">
        <v>141</v>
      </c>
      <c r="E28" s="112" t="s">
        <v>23</v>
      </c>
      <c r="F28" s="69"/>
    </row>
    <row r="29" spans="2:16" x14ac:dyDescent="0.2">
      <c r="B29" s="81" t="s">
        <v>142</v>
      </c>
      <c r="C29" s="110" t="s">
        <v>143</v>
      </c>
      <c r="D29" s="68" t="s">
        <v>144</v>
      </c>
      <c r="E29" s="144">
        <v>0.98499999999999999</v>
      </c>
      <c r="F29" s="69"/>
      <c r="G29" s="2"/>
    </row>
    <row r="30" spans="2:16" x14ac:dyDescent="0.2">
      <c r="B30" s="81" t="s">
        <v>142</v>
      </c>
      <c r="C30" s="110" t="s">
        <v>143</v>
      </c>
      <c r="D30" s="68" t="s">
        <v>145</v>
      </c>
      <c r="E30" s="144">
        <v>0.95299999999999996</v>
      </c>
      <c r="F30" s="69"/>
      <c r="G30" s="2"/>
    </row>
    <row r="31" spans="2:16" x14ac:dyDescent="0.2">
      <c r="B31" s="81" t="s">
        <v>142</v>
      </c>
      <c r="C31" s="110" t="s">
        <v>143</v>
      </c>
      <c r="D31" s="68" t="s">
        <v>146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customHeight="1" x14ac:dyDescent="0.2">
      <c r="B37" s="59" t="s">
        <v>147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148</v>
      </c>
      <c r="C39" s="69"/>
      <c r="D39" s="69"/>
      <c r="E39" s="70"/>
      <c r="F39" s="69"/>
    </row>
    <row r="40" spans="2:6" ht="13.5" customHeight="1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5" t="s">
        <v>149</v>
      </c>
      <c r="C41" s="217" t="s">
        <v>138</v>
      </c>
      <c r="D41" s="83" t="s">
        <v>150</v>
      </c>
      <c r="E41" s="73" t="s">
        <v>151</v>
      </c>
      <c r="F41" s="69"/>
    </row>
    <row r="42" spans="2:6" ht="24.75" customHeight="1" x14ac:dyDescent="0.2">
      <c r="B42" s="216"/>
      <c r="C42" s="218"/>
      <c r="D42" s="21" t="s">
        <v>47</v>
      </c>
      <c r="E42" s="111" t="s">
        <v>152</v>
      </c>
      <c r="F42" s="69"/>
    </row>
    <row r="43" spans="2:6" x14ac:dyDescent="0.2">
      <c r="B43" s="81" t="s">
        <v>142</v>
      </c>
      <c r="C43" s="110" t="s">
        <v>143</v>
      </c>
      <c r="D43" s="68" t="s">
        <v>153</v>
      </c>
      <c r="E43" s="82">
        <f>SUM(E9:E15)*E29/1000</f>
        <v>13.4945</v>
      </c>
      <c r="F43" s="69"/>
    </row>
    <row r="44" spans="2:6" x14ac:dyDescent="0.2">
      <c r="B44" s="71" t="s">
        <v>154</v>
      </c>
      <c r="C44" s="69"/>
      <c r="D44" s="69"/>
      <c r="E44" s="69"/>
      <c r="F44" s="69"/>
    </row>
    <row r="45" spans="2:6" x14ac:dyDescent="0.2">
      <c r="B45" s="113" t="s">
        <v>155</v>
      </c>
      <c r="C45" s="69"/>
      <c r="D45" s="69"/>
      <c r="E45" s="69"/>
      <c r="F45" s="69"/>
    </row>
    <row r="46" spans="2:6" x14ac:dyDescent="0.2">
      <c r="B46" s="113" t="s">
        <v>156</v>
      </c>
    </row>
    <row r="48" spans="2:6" x14ac:dyDescent="0.2">
      <c r="B48" s="69"/>
      <c r="C48" s="69"/>
    </row>
  </sheetData>
  <mergeCells count="6">
    <mergeCell ref="B27:B28"/>
    <mergeCell ref="C41:C42"/>
    <mergeCell ref="C27:C28"/>
    <mergeCell ref="B41:B42"/>
    <mergeCell ref="C6:C8"/>
    <mergeCell ref="B6:B8"/>
  </mergeCells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customHeight="1" x14ac:dyDescent="0.25">
      <c r="B2" s="100" t="s">
        <v>157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158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44</v>
      </c>
      <c r="C5" s="106" t="s">
        <v>45</v>
      </c>
      <c r="D5" s="106" t="s">
        <v>46</v>
      </c>
      <c r="E5" s="106" t="s">
        <v>47</v>
      </c>
      <c r="F5" s="176" t="s">
        <v>48</v>
      </c>
      <c r="G5" s="106" t="s">
        <v>49</v>
      </c>
      <c r="H5" s="106" t="s">
        <v>50</v>
      </c>
      <c r="I5" s="106" t="s">
        <v>51</v>
      </c>
    </row>
    <row r="6" spans="2:9" ht="39.75" customHeight="1" thickBot="1" x14ac:dyDescent="0.25">
      <c r="B6" s="19" t="s">
        <v>52</v>
      </c>
      <c r="C6" s="19" t="s">
        <v>53</v>
      </c>
      <c r="D6" s="19" t="s">
        <v>54</v>
      </c>
      <c r="E6" s="19" t="s">
        <v>47</v>
      </c>
      <c r="F6" s="19" t="s">
        <v>55</v>
      </c>
      <c r="G6" s="19" t="s">
        <v>56</v>
      </c>
      <c r="H6" s="19" t="s">
        <v>57</v>
      </c>
      <c r="I6" s="19" t="s">
        <v>58</v>
      </c>
    </row>
    <row r="7" spans="2:9" ht="18.75" customHeight="1" x14ac:dyDescent="0.2">
      <c r="B7" s="119" t="s">
        <v>59</v>
      </c>
      <c r="C7" s="119" t="s">
        <v>159</v>
      </c>
      <c r="D7" s="119" t="s">
        <v>160</v>
      </c>
      <c r="E7" s="119" t="s">
        <v>62</v>
      </c>
      <c r="F7" s="119"/>
      <c r="G7" s="119" t="s">
        <v>161</v>
      </c>
      <c r="H7" s="119" t="s">
        <v>162</v>
      </c>
      <c r="I7" s="119" t="s">
        <v>163</v>
      </c>
    </row>
    <row r="8" spans="2:9" ht="18.75" customHeight="1" x14ac:dyDescent="0.2">
      <c r="B8" s="126" t="s">
        <v>59</v>
      </c>
      <c r="C8" s="126" t="s">
        <v>164</v>
      </c>
      <c r="D8" s="126" t="s">
        <v>165</v>
      </c>
      <c r="E8" s="126" t="s">
        <v>62</v>
      </c>
      <c r="F8" s="126"/>
      <c r="G8" s="126" t="s">
        <v>161</v>
      </c>
      <c r="H8" s="126" t="s">
        <v>162</v>
      </c>
      <c r="I8" s="126" t="s">
        <v>163</v>
      </c>
    </row>
    <row r="9" spans="2:9" ht="18.75" customHeight="1" x14ac:dyDescent="0.2">
      <c r="B9" s="128" t="s">
        <v>59</v>
      </c>
      <c r="C9" s="128" t="s">
        <v>166</v>
      </c>
      <c r="D9" s="128" t="s">
        <v>167</v>
      </c>
      <c r="E9" s="128" t="s">
        <v>62</v>
      </c>
      <c r="F9" s="128"/>
      <c r="G9" s="128" t="s">
        <v>161</v>
      </c>
      <c r="H9" s="128"/>
      <c r="I9" s="128" t="s">
        <v>163</v>
      </c>
    </row>
    <row r="10" spans="2:9" ht="18.75" customHeight="1" x14ac:dyDescent="0.2">
      <c r="B10" s="126" t="s">
        <v>59</v>
      </c>
      <c r="C10" s="126" t="s">
        <v>41</v>
      </c>
      <c r="D10" s="126" t="s">
        <v>168</v>
      </c>
      <c r="E10" s="126" t="s">
        <v>62</v>
      </c>
      <c r="F10" s="126"/>
      <c r="G10" s="126" t="s">
        <v>161</v>
      </c>
      <c r="H10" s="126"/>
      <c r="I10" s="126" t="s">
        <v>163</v>
      </c>
    </row>
    <row r="11" spans="2:9" ht="18.75" customHeight="1" x14ac:dyDescent="0.2">
      <c r="B11" s="128" t="s">
        <v>59</v>
      </c>
      <c r="C11" s="128" t="s">
        <v>42</v>
      </c>
      <c r="D11" s="128" t="s">
        <v>169</v>
      </c>
      <c r="E11" s="128" t="s">
        <v>62</v>
      </c>
      <c r="F11" s="128"/>
      <c r="G11" s="128" t="s">
        <v>161</v>
      </c>
      <c r="H11" s="128"/>
      <c r="I11" s="128" t="s">
        <v>163</v>
      </c>
    </row>
    <row r="12" spans="2:9" ht="18.75" customHeight="1" x14ac:dyDescent="0.2">
      <c r="B12" s="126" t="s">
        <v>59</v>
      </c>
      <c r="C12" s="126" t="s">
        <v>170</v>
      </c>
      <c r="D12" s="126" t="s">
        <v>171</v>
      </c>
      <c r="E12" s="126" t="s">
        <v>62</v>
      </c>
      <c r="F12" s="126"/>
      <c r="G12" s="126" t="s">
        <v>161</v>
      </c>
      <c r="H12" s="126"/>
      <c r="I12" s="126" t="s">
        <v>163</v>
      </c>
    </row>
    <row r="13" spans="2:9" ht="18.75" customHeight="1" x14ac:dyDescent="0.2">
      <c r="B13" s="187" t="s">
        <v>172</v>
      </c>
      <c r="C13" s="187" t="s">
        <v>173</v>
      </c>
      <c r="D13" s="187" t="s">
        <v>174</v>
      </c>
      <c r="E13" s="187" t="s">
        <v>110</v>
      </c>
      <c r="F13" s="187"/>
      <c r="G13" s="187"/>
      <c r="H13" s="187" t="s">
        <v>162</v>
      </c>
      <c r="I13" s="187"/>
    </row>
    <row r="14" spans="2:9" ht="18.75" customHeight="1" x14ac:dyDescent="0.2">
      <c r="B14" s="126" t="s">
        <v>175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customHeight="1" x14ac:dyDescent="0.25">
      <c r="B17" s="100" t="s">
        <v>176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43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44</v>
      </c>
      <c r="C20" s="106" t="s">
        <v>45</v>
      </c>
      <c r="D20" s="106" t="s">
        <v>46</v>
      </c>
      <c r="E20" s="106" t="s">
        <v>47</v>
      </c>
      <c r="F20" s="106" t="s">
        <v>48</v>
      </c>
      <c r="G20" s="106" t="s">
        <v>49</v>
      </c>
      <c r="H20" s="106" t="s">
        <v>50</v>
      </c>
      <c r="I20" s="106" t="s">
        <v>51</v>
      </c>
    </row>
    <row r="21" spans="2:9" ht="38.25" customHeight="1" x14ac:dyDescent="0.2">
      <c r="B21" s="19" t="s">
        <v>52</v>
      </c>
      <c r="C21" s="19" t="s">
        <v>53</v>
      </c>
      <c r="D21" s="19" t="s">
        <v>54</v>
      </c>
      <c r="E21" s="19" t="s">
        <v>47</v>
      </c>
      <c r="F21" s="19" t="s">
        <v>55</v>
      </c>
      <c r="G21" s="19" t="s">
        <v>56</v>
      </c>
      <c r="H21" s="19" t="s">
        <v>57</v>
      </c>
      <c r="I21" s="19" t="s">
        <v>58</v>
      </c>
    </row>
    <row r="22" spans="2:9" x14ac:dyDescent="0.2">
      <c r="B22" s="66" t="s">
        <v>59</v>
      </c>
      <c r="C22" s="116" t="s">
        <v>60</v>
      </c>
      <c r="D22" s="66" t="s">
        <v>61</v>
      </c>
      <c r="E22" s="117" t="s">
        <v>62</v>
      </c>
      <c r="F22" s="65"/>
      <c r="G22" s="65"/>
      <c r="H22" s="65"/>
      <c r="I22" s="65"/>
    </row>
    <row r="23" spans="2:9" x14ac:dyDescent="0.2">
      <c r="B23" s="49" t="s">
        <v>59</v>
      </c>
      <c r="C23" s="114" t="s">
        <v>63</v>
      </c>
      <c r="D23" s="49" t="s">
        <v>64</v>
      </c>
      <c r="E23" s="115" t="s">
        <v>62</v>
      </c>
      <c r="F23" s="48"/>
      <c r="G23" s="48"/>
      <c r="H23" s="48"/>
      <c r="I23" s="48"/>
    </row>
    <row r="24" spans="2:9" x14ac:dyDescent="0.2">
      <c r="B24" s="66" t="s">
        <v>59</v>
      </c>
      <c r="C24" s="116" t="s">
        <v>65</v>
      </c>
      <c r="D24" s="66" t="s">
        <v>66</v>
      </c>
      <c r="E24" s="117" t="s">
        <v>62</v>
      </c>
      <c r="F24" s="65"/>
      <c r="G24" s="65"/>
      <c r="H24" s="65"/>
      <c r="I24" s="65"/>
    </row>
    <row r="25" spans="2:9" x14ac:dyDescent="0.2">
      <c r="B25" s="185" t="s">
        <v>59</v>
      </c>
      <c r="C25" s="42" t="s">
        <v>67</v>
      </c>
      <c r="D25" s="185" t="s">
        <v>68</v>
      </c>
      <c r="E25" s="186" t="s">
        <v>62</v>
      </c>
      <c r="F25" s="44"/>
      <c r="G25" s="44"/>
      <c r="H25" s="44"/>
      <c r="I25" s="44"/>
    </row>
    <row r="26" spans="2:9" x14ac:dyDescent="0.2">
      <c r="B26" s="66" t="s">
        <v>59</v>
      </c>
      <c r="C26" s="116" t="s">
        <v>69</v>
      </c>
      <c r="D26" s="66" t="s">
        <v>70</v>
      </c>
      <c r="E26" s="117" t="s">
        <v>62</v>
      </c>
      <c r="F26" s="65"/>
      <c r="G26" s="65"/>
      <c r="H26" s="65"/>
      <c r="I26" s="65"/>
    </row>
    <row r="27" spans="2:9" x14ac:dyDescent="0.2">
      <c r="B27" s="185" t="s">
        <v>59</v>
      </c>
      <c r="C27" s="42" t="s">
        <v>71</v>
      </c>
      <c r="D27" s="185" t="s">
        <v>72</v>
      </c>
      <c r="E27" s="186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73</v>
      </c>
      <c r="D28" s="116" t="s">
        <v>73</v>
      </c>
      <c r="E28" s="117" t="s">
        <v>62</v>
      </c>
      <c r="F28" s="65"/>
      <c r="G28" s="65"/>
      <c r="H28" s="65"/>
      <c r="I28" s="65"/>
    </row>
    <row r="29" spans="2:9" x14ac:dyDescent="0.2">
      <c r="B29" s="185" t="s">
        <v>59</v>
      </c>
      <c r="C29" s="42" t="s">
        <v>74</v>
      </c>
      <c r="D29" s="42" t="s">
        <v>75</v>
      </c>
      <c r="E29" s="186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76</v>
      </c>
      <c r="D30" s="116" t="s">
        <v>76</v>
      </c>
      <c r="E30" s="117" t="s">
        <v>62</v>
      </c>
      <c r="F30" s="65"/>
      <c r="G30" s="65"/>
      <c r="H30" s="65"/>
      <c r="I30" s="65"/>
    </row>
    <row r="31" spans="2:9" x14ac:dyDescent="0.2">
      <c r="B31" s="185" t="s">
        <v>59</v>
      </c>
      <c r="C31" s="42" t="s">
        <v>77</v>
      </c>
      <c r="D31" s="42" t="s">
        <v>77</v>
      </c>
      <c r="E31" s="186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78</v>
      </c>
      <c r="D32" s="116" t="s">
        <v>79</v>
      </c>
      <c r="E32" s="117" t="s">
        <v>62</v>
      </c>
      <c r="F32" s="65"/>
      <c r="G32" s="65"/>
      <c r="H32" s="65"/>
      <c r="I32" s="65"/>
    </row>
    <row r="33" spans="2:9" x14ac:dyDescent="0.2">
      <c r="B33" s="185" t="s">
        <v>59</v>
      </c>
      <c r="C33" s="42" t="s">
        <v>80</v>
      </c>
      <c r="D33" s="185" t="s">
        <v>81</v>
      </c>
      <c r="E33" s="186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31</v>
      </c>
      <c r="D34" s="66" t="s">
        <v>82</v>
      </c>
      <c r="E34" s="117" t="s">
        <v>62</v>
      </c>
      <c r="F34" s="65"/>
      <c r="G34" s="65"/>
      <c r="H34" s="65"/>
      <c r="I34" s="65"/>
    </row>
    <row r="35" spans="2:9" x14ac:dyDescent="0.2">
      <c r="B35" s="185" t="s">
        <v>59</v>
      </c>
      <c r="C35" s="42" t="s">
        <v>33</v>
      </c>
      <c r="D35" s="185" t="s">
        <v>83</v>
      </c>
      <c r="E35" s="186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35</v>
      </c>
      <c r="D36" s="66" t="s">
        <v>84</v>
      </c>
      <c r="E36" s="117" t="s">
        <v>62</v>
      </c>
      <c r="F36" s="65"/>
      <c r="G36" s="65"/>
      <c r="H36" s="65"/>
      <c r="I36" s="65"/>
    </row>
    <row r="37" spans="2:9" x14ac:dyDescent="0.2">
      <c r="B37" s="49" t="s">
        <v>59</v>
      </c>
      <c r="C37" s="114" t="s">
        <v>36</v>
      </c>
      <c r="D37" s="49" t="s">
        <v>85</v>
      </c>
      <c r="E37" s="115" t="s">
        <v>62</v>
      </c>
      <c r="F37" s="48"/>
      <c r="G37" s="48"/>
      <c r="H37" s="48"/>
      <c r="I37" s="48"/>
    </row>
    <row r="38" spans="2:9" x14ac:dyDescent="0.2">
      <c r="B38" s="66" t="s">
        <v>59</v>
      </c>
      <c r="C38" s="116" t="s">
        <v>39</v>
      </c>
      <c r="D38" s="66" t="s">
        <v>86</v>
      </c>
      <c r="E38" s="86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87</v>
      </c>
      <c r="D39" s="49" t="s">
        <v>87</v>
      </c>
      <c r="E39" s="123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40</v>
      </c>
      <c r="D40" s="66" t="s">
        <v>88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89</v>
      </c>
      <c r="D41" s="49" t="s">
        <v>90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91</v>
      </c>
      <c r="D42" s="66" t="s">
        <v>92</v>
      </c>
      <c r="E42" s="86" t="s">
        <v>62</v>
      </c>
      <c r="F42" s="65"/>
      <c r="G42" s="65"/>
      <c r="H42" s="65"/>
      <c r="I42" s="65"/>
    </row>
    <row r="43" spans="2:9" ht="13.5" customHeight="1" thickBot="1" x14ac:dyDescent="0.25">
      <c r="B43" s="196" t="s">
        <v>59</v>
      </c>
      <c r="C43" s="197" t="s">
        <v>38</v>
      </c>
      <c r="D43" s="196" t="s">
        <v>38</v>
      </c>
      <c r="E43" s="198" t="s">
        <v>62</v>
      </c>
      <c r="F43" s="199"/>
      <c r="G43" s="199"/>
      <c r="H43" s="199"/>
      <c r="I43" s="199"/>
    </row>
    <row r="47" spans="2:9" ht="13.5" customHeight="1" thickBot="1" x14ac:dyDescent="0.25">
      <c r="B47" s="223" t="s">
        <v>177</v>
      </c>
      <c r="C47" s="224"/>
    </row>
    <row r="48" spans="2:9" x14ac:dyDescent="0.2">
      <c r="B48" s="99" t="s">
        <v>59</v>
      </c>
      <c r="C48" s="99" t="s">
        <v>178</v>
      </c>
    </row>
    <row r="49" spans="2:3" x14ac:dyDescent="0.2">
      <c r="B49" s="9" t="s">
        <v>172</v>
      </c>
      <c r="C49" s="9" t="s">
        <v>179</v>
      </c>
    </row>
    <row r="50" spans="2:3" x14ac:dyDescent="0.2">
      <c r="B50" s="7" t="s">
        <v>180</v>
      </c>
      <c r="C50" s="7" t="s">
        <v>181</v>
      </c>
    </row>
    <row r="51" spans="2:3" x14ac:dyDescent="0.2">
      <c r="B51" s="9" t="s">
        <v>182</v>
      </c>
      <c r="C51" s="9" t="s">
        <v>183</v>
      </c>
    </row>
    <row r="52" spans="2:3" ht="13.5" customHeight="1" thickBot="1" x14ac:dyDescent="0.25">
      <c r="B52" s="3" t="s">
        <v>184</v>
      </c>
      <c r="C52" s="3" t="s">
        <v>185</v>
      </c>
    </row>
  </sheetData>
  <mergeCells count="1">
    <mergeCell ref="B47:C47"/>
  </mergeCell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186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187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188</v>
      </c>
      <c r="C5" s="106" t="s">
        <v>189</v>
      </c>
      <c r="D5" s="106" t="s">
        <v>2</v>
      </c>
      <c r="E5" s="106" t="s">
        <v>190</v>
      </c>
      <c r="F5" s="106" t="s">
        <v>191</v>
      </c>
      <c r="G5" s="106" t="s">
        <v>192</v>
      </c>
      <c r="H5" s="106" t="s">
        <v>193</v>
      </c>
      <c r="I5" s="106" t="s">
        <v>194</v>
      </c>
      <c r="J5" s="106" t="s">
        <v>195</v>
      </c>
    </row>
    <row r="6" spans="1:10" ht="30" customHeight="1" thickBot="1" x14ac:dyDescent="0.25">
      <c r="B6" s="19" t="s">
        <v>196</v>
      </c>
      <c r="C6" s="19" t="s">
        <v>197</v>
      </c>
      <c r="D6" s="19" t="s">
        <v>198</v>
      </c>
      <c r="E6" s="19" t="s">
        <v>20</v>
      </c>
      <c r="F6" s="19" t="s">
        <v>199</v>
      </c>
      <c r="G6" s="19" t="s">
        <v>200</v>
      </c>
      <c r="H6" s="19" t="s">
        <v>56</v>
      </c>
      <c r="I6" s="19" t="s">
        <v>201</v>
      </c>
      <c r="J6" s="19" t="s">
        <v>202</v>
      </c>
    </row>
    <row r="7" spans="1:10" ht="18.75" customHeight="1" x14ac:dyDescent="0.2">
      <c r="B7" s="200" t="s">
        <v>175</v>
      </c>
      <c r="C7" s="121" t="s">
        <v>203</v>
      </c>
      <c r="D7" s="121" t="s">
        <v>204</v>
      </c>
      <c r="E7" s="121" t="s">
        <v>205</v>
      </c>
      <c r="F7" s="121" t="s">
        <v>62</v>
      </c>
      <c r="G7" s="121" t="s">
        <v>206</v>
      </c>
      <c r="H7" s="121" t="s">
        <v>162</v>
      </c>
      <c r="I7" s="121"/>
      <c r="J7" s="121"/>
    </row>
    <row r="8" spans="1:10" ht="18.75" customHeight="1" x14ac:dyDescent="0.2">
      <c r="B8" s="66" t="s">
        <v>175</v>
      </c>
      <c r="C8" s="127" t="s">
        <v>203</v>
      </c>
      <c r="D8" s="127" t="s">
        <v>207</v>
      </c>
      <c r="E8" s="127" t="s">
        <v>208</v>
      </c>
      <c r="F8" s="127" t="s">
        <v>62</v>
      </c>
      <c r="G8" s="127" t="s">
        <v>206</v>
      </c>
      <c r="H8" s="127" t="s">
        <v>162</v>
      </c>
      <c r="I8" s="127"/>
      <c r="J8" s="127"/>
    </row>
    <row r="9" spans="1:10" ht="18.75" customHeight="1" x14ac:dyDescent="0.2">
      <c r="B9" s="49" t="s">
        <v>175</v>
      </c>
      <c r="C9" s="129" t="s">
        <v>203</v>
      </c>
      <c r="D9" s="129" t="s">
        <v>209</v>
      </c>
      <c r="E9" s="128" t="s">
        <v>210</v>
      </c>
      <c r="F9" s="129" t="s">
        <v>62</v>
      </c>
      <c r="G9" s="129" t="s">
        <v>206</v>
      </c>
      <c r="H9" s="129" t="s">
        <v>162</v>
      </c>
      <c r="I9" s="129"/>
      <c r="J9" s="129"/>
    </row>
    <row r="10" spans="1:10" ht="18.75" customHeight="1" x14ac:dyDescent="0.2">
      <c r="B10" s="66" t="s">
        <v>175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211</v>
      </c>
      <c r="C11" s="122" t="s">
        <v>203</v>
      </c>
      <c r="D11" s="122" t="s">
        <v>212</v>
      </c>
      <c r="E11" s="122" t="s">
        <v>213</v>
      </c>
      <c r="F11" s="122" t="s">
        <v>62</v>
      </c>
      <c r="G11" s="122" t="s">
        <v>206</v>
      </c>
      <c r="H11" s="122" t="s">
        <v>161</v>
      </c>
      <c r="I11" s="122"/>
      <c r="J11" s="122"/>
    </row>
    <row r="12" spans="1:10" ht="18.75" customHeight="1" x14ac:dyDescent="0.2">
      <c r="B12" s="126" t="s">
        <v>211</v>
      </c>
      <c r="C12" s="127" t="s">
        <v>203</v>
      </c>
      <c r="D12" s="127" t="s">
        <v>214</v>
      </c>
      <c r="E12" s="127" t="s">
        <v>215</v>
      </c>
      <c r="F12" s="127" t="s">
        <v>62</v>
      </c>
      <c r="G12" s="127" t="s">
        <v>206</v>
      </c>
      <c r="H12" s="127" t="s">
        <v>161</v>
      </c>
      <c r="I12" s="127"/>
      <c r="J12" s="127"/>
    </row>
    <row r="13" spans="1:10" ht="18.75" customHeight="1" x14ac:dyDescent="0.2">
      <c r="B13" s="120" t="s">
        <v>211</v>
      </c>
      <c r="C13" s="122" t="s">
        <v>203</v>
      </c>
      <c r="D13" s="122" t="s">
        <v>216</v>
      </c>
      <c r="E13" s="122" t="s">
        <v>217</v>
      </c>
      <c r="F13" s="122" t="s">
        <v>62</v>
      </c>
      <c r="G13" s="122" t="s">
        <v>206</v>
      </c>
      <c r="H13" s="122" t="s">
        <v>161</v>
      </c>
      <c r="I13" s="122"/>
      <c r="J13" s="122"/>
    </row>
    <row r="14" spans="1:10" ht="18.75" customHeight="1" x14ac:dyDescent="0.2">
      <c r="B14" s="126" t="s">
        <v>211</v>
      </c>
      <c r="C14" s="127" t="s">
        <v>203</v>
      </c>
      <c r="D14" s="127" t="s">
        <v>218</v>
      </c>
      <c r="E14" s="127" t="s">
        <v>219</v>
      </c>
      <c r="F14" s="127" t="s">
        <v>62</v>
      </c>
      <c r="G14" s="127" t="s">
        <v>206</v>
      </c>
      <c r="H14" s="127" t="s">
        <v>161</v>
      </c>
      <c r="I14" s="127"/>
      <c r="J14" s="127"/>
    </row>
    <row r="15" spans="1:10" ht="18.75" customHeight="1" x14ac:dyDescent="0.2">
      <c r="B15" s="120" t="s">
        <v>211</v>
      </c>
      <c r="C15" s="122" t="s">
        <v>203</v>
      </c>
      <c r="D15" s="122" t="s">
        <v>220</v>
      </c>
      <c r="E15" s="122" t="s">
        <v>221</v>
      </c>
      <c r="F15" s="122" t="s">
        <v>62</v>
      </c>
      <c r="G15" s="122" t="s">
        <v>206</v>
      </c>
      <c r="H15" s="122" t="s">
        <v>161</v>
      </c>
      <c r="I15" s="122"/>
      <c r="J15" s="122"/>
    </row>
    <row r="16" spans="1:10" ht="18.75" customHeight="1" x14ac:dyDescent="0.2">
      <c r="B16" s="126" t="s">
        <v>211</v>
      </c>
      <c r="C16" s="127" t="s">
        <v>203</v>
      </c>
      <c r="D16" s="127" t="s">
        <v>222</v>
      </c>
      <c r="E16" s="127" t="s">
        <v>223</v>
      </c>
      <c r="F16" s="127" t="s">
        <v>62</v>
      </c>
      <c r="G16" s="127" t="s">
        <v>206</v>
      </c>
      <c r="H16" s="127" t="s">
        <v>161</v>
      </c>
      <c r="I16" s="127"/>
      <c r="J16" s="127"/>
    </row>
    <row r="17" spans="1:10" ht="18.75" customHeight="1" x14ac:dyDescent="0.2">
      <c r="B17" s="120" t="s">
        <v>211</v>
      </c>
      <c r="C17" s="122" t="s">
        <v>203</v>
      </c>
      <c r="D17" s="122" t="s">
        <v>224</v>
      </c>
      <c r="E17" s="122" t="s">
        <v>225</v>
      </c>
      <c r="F17" s="122" t="s">
        <v>62</v>
      </c>
      <c r="G17" s="122" t="s">
        <v>206</v>
      </c>
      <c r="H17" s="122" t="s">
        <v>161</v>
      </c>
      <c r="I17" s="122"/>
      <c r="J17" s="122"/>
    </row>
    <row r="18" spans="1:10" ht="18.75" customHeight="1" x14ac:dyDescent="0.2">
      <c r="B18" s="126" t="s">
        <v>211</v>
      </c>
      <c r="C18" s="127" t="s">
        <v>203</v>
      </c>
      <c r="D18" s="127" t="s">
        <v>226</v>
      </c>
      <c r="E18" s="127" t="s">
        <v>227</v>
      </c>
      <c r="F18" s="127" t="s">
        <v>62</v>
      </c>
      <c r="G18" s="127" t="s">
        <v>206</v>
      </c>
      <c r="H18" s="127" t="s">
        <v>161</v>
      </c>
      <c r="I18" s="127"/>
      <c r="J18" s="127"/>
    </row>
    <row r="19" spans="1:10" ht="18.75" customHeight="1" x14ac:dyDescent="0.2">
      <c r="B19" s="128" t="s">
        <v>211</v>
      </c>
      <c r="C19" s="129" t="s">
        <v>203</v>
      </c>
      <c r="D19" s="129" t="s">
        <v>228</v>
      </c>
      <c r="E19" s="129" t="s">
        <v>229</v>
      </c>
      <c r="F19" s="129" t="s">
        <v>62</v>
      </c>
      <c r="G19" s="129" t="s">
        <v>206</v>
      </c>
      <c r="H19" s="129" t="s">
        <v>161</v>
      </c>
      <c r="I19" s="129"/>
      <c r="J19" s="129"/>
    </row>
    <row r="20" spans="1:10" ht="18.75" customHeight="1" x14ac:dyDescent="0.2">
      <c r="B20" s="126" t="s">
        <v>230</v>
      </c>
      <c r="C20" s="127" t="s">
        <v>203</v>
      </c>
      <c r="D20" s="127" t="s">
        <v>231</v>
      </c>
      <c r="E20" s="127" t="s">
        <v>232</v>
      </c>
      <c r="F20" s="127" t="s">
        <v>62</v>
      </c>
      <c r="G20" s="127" t="s">
        <v>206</v>
      </c>
      <c r="H20" s="127" t="s">
        <v>161</v>
      </c>
      <c r="I20" s="127"/>
      <c r="J20" s="127"/>
    </row>
    <row r="21" spans="1:10" ht="18.75" customHeight="1" x14ac:dyDescent="0.2">
      <c r="B21" s="128" t="s">
        <v>211</v>
      </c>
      <c r="C21" s="129" t="s">
        <v>203</v>
      </c>
      <c r="D21" s="129" t="s">
        <v>233</v>
      </c>
      <c r="E21" s="129" t="s">
        <v>37</v>
      </c>
      <c r="F21" s="129" t="s">
        <v>62</v>
      </c>
      <c r="G21" s="129" t="s">
        <v>206</v>
      </c>
      <c r="H21" s="129" t="s">
        <v>161</v>
      </c>
      <c r="I21" s="129"/>
      <c r="J21" s="129"/>
    </row>
    <row r="22" spans="1:10" ht="18.75" customHeight="1" x14ac:dyDescent="0.2">
      <c r="B22" s="126" t="s">
        <v>234</v>
      </c>
      <c r="C22" s="127" t="s">
        <v>203</v>
      </c>
      <c r="D22" s="127" t="s">
        <v>235</v>
      </c>
      <c r="E22" s="127" t="s">
        <v>236</v>
      </c>
      <c r="F22" s="127" t="s">
        <v>62</v>
      </c>
      <c r="G22" s="127" t="s">
        <v>206</v>
      </c>
      <c r="H22" s="127" t="s">
        <v>162</v>
      </c>
      <c r="I22" s="127"/>
      <c r="J22" s="127"/>
    </row>
    <row r="23" spans="1:10" ht="18.75" customHeight="1" x14ac:dyDescent="0.2">
      <c r="B23" s="128" t="s">
        <v>237</v>
      </c>
      <c r="C23" s="129" t="s">
        <v>203</v>
      </c>
      <c r="D23" s="129" t="s">
        <v>238</v>
      </c>
      <c r="E23" s="129" t="s">
        <v>239</v>
      </c>
      <c r="F23" s="129" t="s">
        <v>62</v>
      </c>
      <c r="G23" s="129" t="s">
        <v>206</v>
      </c>
      <c r="H23" s="129" t="s">
        <v>162</v>
      </c>
      <c r="I23" s="129"/>
      <c r="J23" s="129"/>
    </row>
    <row r="24" spans="1:10" ht="18.75" customHeight="1" x14ac:dyDescent="0.2">
      <c r="A24" s="62"/>
      <c r="B24" s="126" t="s">
        <v>240</v>
      </c>
      <c r="C24" s="127" t="s">
        <v>203</v>
      </c>
      <c r="D24" s="127" t="s">
        <v>241</v>
      </c>
      <c r="E24" s="127" t="s">
        <v>242</v>
      </c>
      <c r="F24" s="127" t="s">
        <v>62</v>
      </c>
      <c r="G24" s="127" t="s">
        <v>206</v>
      </c>
      <c r="H24" s="127" t="s">
        <v>161</v>
      </c>
      <c r="I24" s="127"/>
      <c r="J24" s="127"/>
    </row>
    <row r="25" spans="1:10" ht="18.75" customHeight="1" x14ac:dyDescent="0.2">
      <c r="A25" s="62"/>
      <c r="B25" s="128" t="s">
        <v>240</v>
      </c>
      <c r="C25" s="129" t="s">
        <v>203</v>
      </c>
      <c r="D25" s="129" t="s">
        <v>243</v>
      </c>
      <c r="E25" s="129" t="s">
        <v>244</v>
      </c>
      <c r="F25" s="129" t="s">
        <v>62</v>
      </c>
      <c r="G25" s="129" t="s">
        <v>206</v>
      </c>
      <c r="H25" s="129" t="s">
        <v>161</v>
      </c>
      <c r="I25" s="129"/>
      <c r="J25" s="129"/>
    </row>
    <row r="26" spans="1:10" ht="18.75" customHeight="1" x14ac:dyDescent="0.2">
      <c r="A26" s="61"/>
      <c r="B26" s="128" t="s">
        <v>240</v>
      </c>
      <c r="C26" s="129" t="s">
        <v>203</v>
      </c>
      <c r="D26" s="129" t="s">
        <v>245</v>
      </c>
      <c r="E26" s="129" t="s">
        <v>246</v>
      </c>
      <c r="F26" s="129" t="s">
        <v>62</v>
      </c>
      <c r="G26" s="129" t="s">
        <v>206</v>
      </c>
      <c r="H26" s="129" t="s">
        <v>161</v>
      </c>
      <c r="I26" s="129"/>
      <c r="J26" s="129"/>
    </row>
    <row r="27" spans="1:10" ht="18.75" customHeight="1" x14ac:dyDescent="0.2">
      <c r="A27" s="62"/>
      <c r="B27" s="126" t="s">
        <v>240</v>
      </c>
      <c r="C27" s="127" t="s">
        <v>203</v>
      </c>
      <c r="D27" s="127" t="s">
        <v>247</v>
      </c>
      <c r="E27" s="127" t="s">
        <v>248</v>
      </c>
      <c r="F27" s="127" t="s">
        <v>62</v>
      </c>
      <c r="G27" s="127" t="s">
        <v>249</v>
      </c>
      <c r="H27" s="127" t="s">
        <v>162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250</v>
      </c>
      <c r="C31" s="226"/>
      <c r="D31" s="226"/>
    </row>
    <row r="32" spans="1:10" x14ac:dyDescent="0.2">
      <c r="B32" s="7" t="s">
        <v>211</v>
      </c>
      <c r="C32" s="7" t="s">
        <v>251</v>
      </c>
      <c r="D32" s="7"/>
    </row>
    <row r="33" spans="2:6" x14ac:dyDescent="0.2">
      <c r="B33" s="9" t="s">
        <v>252</v>
      </c>
      <c r="C33" s="9" t="s">
        <v>253</v>
      </c>
      <c r="D33" s="9"/>
    </row>
    <row r="34" spans="2:6" x14ac:dyDescent="0.2">
      <c r="B34" s="7" t="s">
        <v>254</v>
      </c>
      <c r="C34" s="7" t="s">
        <v>255</v>
      </c>
      <c r="D34" s="7"/>
    </row>
    <row r="35" spans="2:6" x14ac:dyDescent="0.2">
      <c r="B35" s="9" t="s">
        <v>240</v>
      </c>
      <c r="C35" s="9" t="s">
        <v>256</v>
      </c>
      <c r="D35" s="9"/>
    </row>
    <row r="36" spans="2:6" x14ac:dyDescent="0.2">
      <c r="B36" s="7" t="s">
        <v>257</v>
      </c>
      <c r="C36" s="7" t="s">
        <v>258</v>
      </c>
      <c r="D36" s="7" t="s">
        <v>259</v>
      </c>
      <c r="F36" s="7" t="s">
        <v>260</v>
      </c>
    </row>
    <row r="37" spans="2:6" x14ac:dyDescent="0.2">
      <c r="B37" s="9" t="s">
        <v>234</v>
      </c>
      <c r="C37" s="9" t="s">
        <v>261</v>
      </c>
      <c r="D37" s="9" t="s">
        <v>262</v>
      </c>
    </row>
    <row r="38" spans="2:6" x14ac:dyDescent="0.2">
      <c r="B38" s="7" t="s">
        <v>237</v>
      </c>
      <c r="C38" s="7" t="s">
        <v>263</v>
      </c>
      <c r="D38" s="7" t="s">
        <v>264</v>
      </c>
    </row>
    <row r="39" spans="2:6" x14ac:dyDescent="0.2">
      <c r="B39" s="9" t="s">
        <v>265</v>
      </c>
      <c r="C39" s="9" t="s">
        <v>266</v>
      </c>
      <c r="D39" s="9" t="s">
        <v>262</v>
      </c>
    </row>
    <row r="40" spans="2:6" ht="13.5" customHeight="1" thickBot="1" x14ac:dyDescent="0.25">
      <c r="B40" s="3" t="s">
        <v>267</v>
      </c>
      <c r="C40" s="3" t="s">
        <v>268</v>
      </c>
      <c r="D40" s="3"/>
    </row>
  </sheetData>
  <mergeCells count="1">
    <mergeCell ref="B31:D31"/>
  </mergeCells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customHeight="1" x14ac:dyDescent="0.2">
      <c r="B3" s="18" t="s">
        <v>2</v>
      </c>
      <c r="C3" s="18" t="s">
        <v>269</v>
      </c>
      <c r="D3" s="18" t="s">
        <v>4</v>
      </c>
      <c r="E3" s="18" t="s">
        <v>5</v>
      </c>
      <c r="F3" s="18" t="s">
        <v>270</v>
      </c>
      <c r="G3" s="18" t="s">
        <v>271</v>
      </c>
      <c r="H3" s="18" t="s">
        <v>7</v>
      </c>
      <c r="I3" s="16" t="s">
        <v>272</v>
      </c>
      <c r="J3" s="16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8" t="s">
        <v>16</v>
      </c>
      <c r="Q3" s="18" t="s">
        <v>17</v>
      </c>
      <c r="R3" s="18" t="s">
        <v>18</v>
      </c>
    </row>
    <row r="4" spans="2:18" ht="63.75" customHeight="1" x14ac:dyDescent="0.2">
      <c r="B4" s="19" t="s">
        <v>19</v>
      </c>
      <c r="C4" s="19" t="s">
        <v>20</v>
      </c>
      <c r="D4" s="19" t="s">
        <v>21</v>
      </c>
      <c r="E4" s="19" t="s">
        <v>22</v>
      </c>
      <c r="F4" s="19" t="s">
        <v>273</v>
      </c>
      <c r="G4" s="19"/>
      <c r="H4" s="19" t="s">
        <v>24</v>
      </c>
      <c r="I4" s="213" t="s">
        <v>274</v>
      </c>
      <c r="J4" s="214"/>
      <c r="K4" s="214"/>
      <c r="L4" s="214"/>
      <c r="M4" s="214"/>
      <c r="N4" s="214"/>
      <c r="O4" s="214"/>
      <c r="P4" s="19"/>
      <c r="Q4" s="19" t="s">
        <v>28</v>
      </c>
      <c r="R4" s="19" t="s">
        <v>29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63</v>
      </c>
      <c r="E5" s="93"/>
      <c r="F5" s="87"/>
      <c r="G5" s="87"/>
      <c r="H5" s="88">
        <v>1</v>
      </c>
      <c r="I5" s="87">
        <v>566</v>
      </c>
      <c r="J5" s="87">
        <f t="shared" ref="J5:O5" si="0">$I$5</f>
        <v>566</v>
      </c>
      <c r="K5" s="87">
        <f t="shared" si="0"/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customHeight="1" thickBot="1" x14ac:dyDescent="0.25">
      <c r="B6" s="165"/>
      <c r="C6" s="61"/>
      <c r="D6" s="169"/>
      <c r="E6" s="183" t="s">
        <v>71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69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74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67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73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76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77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78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65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275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276</v>
      </c>
      <c r="Q34" s="24" t="s">
        <v>277</v>
      </c>
    </row>
    <row r="35" spans="5:22" x14ac:dyDescent="0.2">
      <c r="P35" t="s">
        <v>278</v>
      </c>
      <c r="Q35" t="s">
        <v>278</v>
      </c>
      <c r="T35" t="s">
        <v>62</v>
      </c>
    </row>
    <row r="36" spans="5:22" x14ac:dyDescent="0.2">
      <c r="J36">
        <v>1</v>
      </c>
      <c r="K36" t="s">
        <v>279</v>
      </c>
      <c r="L36">
        <v>0.04</v>
      </c>
      <c r="M36" t="s">
        <v>280</v>
      </c>
      <c r="P36">
        <v>41.868000000000002</v>
      </c>
      <c r="Q36">
        <v>46.5</v>
      </c>
      <c r="S36">
        <v>1</v>
      </c>
      <c r="T36">
        <f t="array" ref="T36:T44">L36:L44*Q36:Q44</f>
        <v>1.86</v>
      </c>
      <c r="U36" t="str">
        <f t="array" ref="U36:U44">M36:M44</f>
        <v>Oil Gas liquid</v>
      </c>
      <c r="V36">
        <f t="array" ref="V36:V44">_xlfn.ANCHORARRAY(T36)/S36</f>
        <v>1.86</v>
      </c>
    </row>
    <row r="37" spans="5:22" x14ac:dyDescent="0.2">
      <c r="L37">
        <v>0.23</v>
      </c>
      <c r="M37" t="s">
        <v>70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281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68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282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76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77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283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284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3"/>
  <dimension ref="B2:AD36"/>
  <sheetViews>
    <sheetView tabSelected="1" zoomScale="76" zoomScaleNormal="85" workbookViewId="0">
      <selection activeCell="L32" sqref="L32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285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2</v>
      </c>
      <c r="C5" s="18" t="s">
        <v>269</v>
      </c>
      <c r="D5" s="18" t="s">
        <v>4</v>
      </c>
      <c r="E5" s="18" t="s">
        <v>5</v>
      </c>
      <c r="F5" s="18" t="s">
        <v>6</v>
      </c>
      <c r="G5" s="18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8" t="s">
        <v>15</v>
      </c>
      <c r="P5" s="18" t="s">
        <v>286</v>
      </c>
      <c r="Q5" s="18" t="s">
        <v>287</v>
      </c>
      <c r="R5" s="18" t="s">
        <v>17</v>
      </c>
      <c r="S5" s="18" t="s">
        <v>18</v>
      </c>
    </row>
    <row r="6" spans="2:30" ht="53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13" t="s">
        <v>25</v>
      </c>
      <c r="I6" s="214"/>
      <c r="J6" s="214"/>
      <c r="K6" s="214"/>
      <c r="L6" s="214"/>
      <c r="M6" s="214"/>
      <c r="N6" s="214"/>
      <c r="O6" s="19" t="s">
        <v>26</v>
      </c>
      <c r="P6" s="19" t="s">
        <v>27</v>
      </c>
      <c r="Q6" s="19" t="s">
        <v>27</v>
      </c>
      <c r="R6" s="19" t="s">
        <v>28</v>
      </c>
      <c r="S6" s="19" t="s">
        <v>29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0.55000000000000004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customHeight="1" x14ac:dyDescent="0.25">
      <c r="B12" s="102" t="s">
        <v>288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2</v>
      </c>
      <c r="C15" s="18" t="s">
        <v>269</v>
      </c>
      <c r="D15" s="18" t="s">
        <v>4</v>
      </c>
      <c r="E15" s="18" t="s">
        <v>5</v>
      </c>
      <c r="F15" s="18" t="s">
        <v>6</v>
      </c>
      <c r="G15" s="18" t="s">
        <v>7</v>
      </c>
      <c r="H15" s="17" t="s">
        <v>289</v>
      </c>
      <c r="I15" s="17" t="s">
        <v>48</v>
      </c>
      <c r="J15" s="16" t="s">
        <v>290</v>
      </c>
      <c r="K15" s="18" t="s">
        <v>15</v>
      </c>
      <c r="L15" s="16" t="s">
        <v>16</v>
      </c>
      <c r="M15" s="16" t="s">
        <v>16</v>
      </c>
      <c r="N15" s="18" t="s">
        <v>17</v>
      </c>
      <c r="O15" s="18" t="s">
        <v>18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24</v>
      </c>
      <c r="H16" s="14" t="s">
        <v>289</v>
      </c>
      <c r="I16" s="14" t="s">
        <v>291</v>
      </c>
      <c r="J16" s="13" t="s">
        <v>25</v>
      </c>
      <c r="K16" s="15" t="s">
        <v>26</v>
      </c>
      <c r="L16" s="15" t="s">
        <v>27</v>
      </c>
      <c r="M16" s="15" t="s">
        <v>27</v>
      </c>
      <c r="N16" s="15" t="s">
        <v>292</v>
      </c>
      <c r="O16" s="15" t="s">
        <v>293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294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294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294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294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294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294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>
        <v>0.9</v>
      </c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0.55000000000000004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4"/>
  <dimension ref="B2:S46"/>
  <sheetViews>
    <sheetView topLeftCell="C1" zoomScale="130" zoomScaleNormal="130" workbookViewId="0">
      <selection activeCell="L21" sqref="L21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customHeight="1" x14ac:dyDescent="0.25">
      <c r="B2" s="102" t="s">
        <v>0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customHeight="1" x14ac:dyDescent="0.2">
      <c r="B5" s="106" t="s">
        <v>2</v>
      </c>
      <c r="C5" s="106" t="s">
        <v>3</v>
      </c>
      <c r="D5" s="106" t="s">
        <v>4</v>
      </c>
      <c r="E5" s="106" t="s">
        <v>5</v>
      </c>
      <c r="F5" s="106" t="s">
        <v>6</v>
      </c>
      <c r="G5" s="106" t="s">
        <v>7</v>
      </c>
      <c r="H5" s="107" t="s">
        <v>8</v>
      </c>
      <c r="I5" s="107" t="s">
        <v>9</v>
      </c>
      <c r="J5" s="107" t="s">
        <v>10</v>
      </c>
      <c r="K5" s="107" t="s">
        <v>11</v>
      </c>
      <c r="L5" s="107" t="s">
        <v>12</v>
      </c>
      <c r="M5" s="107" t="s">
        <v>13</v>
      </c>
      <c r="N5" s="107" t="s">
        <v>14</v>
      </c>
      <c r="O5" s="106" t="s">
        <v>15</v>
      </c>
      <c r="P5" s="106" t="s">
        <v>16</v>
      </c>
      <c r="Q5" s="106" t="s">
        <v>17</v>
      </c>
      <c r="R5" s="106" t="s">
        <v>18</v>
      </c>
    </row>
    <row r="6" spans="2:19" ht="38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13" t="s">
        <v>25</v>
      </c>
      <c r="I6" s="214"/>
      <c r="J6" s="214"/>
      <c r="K6" s="214"/>
      <c r="L6" s="214"/>
      <c r="M6" s="214"/>
      <c r="N6" s="214"/>
      <c r="O6" s="19" t="s">
        <v>26</v>
      </c>
      <c r="P6" s="19" t="s">
        <v>27</v>
      </c>
      <c r="Q6" s="19" t="s">
        <v>28</v>
      </c>
      <c r="R6" s="19" t="s">
        <v>29</v>
      </c>
    </row>
    <row r="7" spans="2:19" ht="20.45" customHeight="1" x14ac:dyDescent="0.2">
      <c r="B7" s="136" t="str">
        <f>SEC_Processes!D17</f>
        <v>ELE_EX_BIOMASS</v>
      </c>
      <c r="C7" s="135" t="s">
        <v>30</v>
      </c>
      <c r="D7" s="116" t="s">
        <v>31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32</v>
      </c>
      <c r="D8" s="42" t="s">
        <v>33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34</v>
      </c>
      <c r="D9" s="116" t="s">
        <v>35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32</v>
      </c>
      <c r="D10" s="114" t="s">
        <v>36</v>
      </c>
      <c r="E10" s="46" t="str">
        <f>SEC_Comm!C7</f>
        <v>ELEC_HV</v>
      </c>
      <c r="F10" s="47">
        <v>1</v>
      </c>
      <c r="G10" s="46">
        <v>31.536000000000001</v>
      </c>
      <c r="H10" s="146">
        <v>0.5</v>
      </c>
      <c r="I10" s="146">
        <v>0.5</v>
      </c>
      <c r="J10" s="146">
        <v>0.5</v>
      </c>
      <c r="K10" s="146">
        <v>0.5</v>
      </c>
      <c r="L10" s="146">
        <v>0.5</v>
      </c>
      <c r="M10" s="146">
        <v>0.5</v>
      </c>
      <c r="N10" s="146">
        <v>0.5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37</v>
      </c>
      <c r="D11" s="116" t="s">
        <v>38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39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40</v>
      </c>
      <c r="E13" s="46" t="s">
        <v>41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0.66500000000000004</v>
      </c>
      <c r="K13" s="131">
        <v>0.66500000000000004</v>
      </c>
      <c r="L13" s="131">
        <v>0.66500000000000004</v>
      </c>
      <c r="M13" s="131">
        <v>0.66500000000000004</v>
      </c>
      <c r="N13" s="131">
        <v>0.66500000000000004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40</v>
      </c>
      <c r="E14" s="46" t="s">
        <v>42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0.26700000000000002</v>
      </c>
      <c r="K14" s="47">
        <v>0.26700000000000002</v>
      </c>
      <c r="L14" s="47">
        <v>0.26700000000000002</v>
      </c>
      <c r="M14" s="47">
        <v>0.26700000000000002</v>
      </c>
      <c r="N14" s="47">
        <v>0.26700000000000002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40</v>
      </c>
      <c r="E15" s="64" t="s">
        <v>41</v>
      </c>
      <c r="F15" s="84">
        <v>1</v>
      </c>
      <c r="G15" s="64">
        <v>31.536000000000001</v>
      </c>
      <c r="H15" s="141">
        <v>0.53</v>
      </c>
      <c r="I15" s="84">
        <v>0.53</v>
      </c>
      <c r="J15" s="84">
        <v>0.53</v>
      </c>
      <c r="K15" s="84">
        <v>0.53</v>
      </c>
      <c r="L15" s="84">
        <v>0.53</v>
      </c>
      <c r="M15" s="84">
        <v>0.53</v>
      </c>
      <c r="N15" s="84">
        <v>0.53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43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44</v>
      </c>
      <c r="C23" s="106" t="s">
        <v>45</v>
      </c>
      <c r="D23" s="106" t="s">
        <v>46</v>
      </c>
      <c r="E23" s="106" t="s">
        <v>47</v>
      </c>
      <c r="F23" s="106" t="s">
        <v>48</v>
      </c>
      <c r="G23" s="106" t="s">
        <v>49</v>
      </c>
      <c r="H23" s="106" t="s">
        <v>50</v>
      </c>
      <c r="I23" s="106" t="s">
        <v>51</v>
      </c>
    </row>
    <row r="24" spans="2:10" ht="63.75" customHeight="1" x14ac:dyDescent="0.2">
      <c r="B24" s="19" t="s">
        <v>52</v>
      </c>
      <c r="C24" s="19" t="s">
        <v>53</v>
      </c>
      <c r="D24" s="19" t="s">
        <v>54</v>
      </c>
      <c r="E24" s="19" t="s">
        <v>47</v>
      </c>
      <c r="F24" s="19" t="s">
        <v>55</v>
      </c>
      <c r="G24" s="19" t="s">
        <v>56</v>
      </c>
      <c r="H24" s="19" t="s">
        <v>57</v>
      </c>
      <c r="I24" s="19" t="s">
        <v>58</v>
      </c>
    </row>
    <row r="25" spans="2:10" x14ac:dyDescent="0.2">
      <c r="B25" s="66" t="s">
        <v>59</v>
      </c>
      <c r="C25" s="116" t="s">
        <v>60</v>
      </c>
      <c r="D25" s="66" t="s">
        <v>61</v>
      </c>
      <c r="E25" s="117" t="s">
        <v>62</v>
      </c>
      <c r="F25" s="65"/>
      <c r="G25" s="65"/>
      <c r="H25" s="65"/>
      <c r="I25" s="65"/>
    </row>
    <row r="26" spans="2:10" x14ac:dyDescent="0.2">
      <c r="B26" s="49" t="s">
        <v>59</v>
      </c>
      <c r="C26" s="114" t="s">
        <v>63</v>
      </c>
      <c r="D26" s="49" t="s">
        <v>64</v>
      </c>
      <c r="E26" s="115" t="s">
        <v>62</v>
      </c>
      <c r="F26" s="48"/>
      <c r="G26" s="48"/>
      <c r="H26" s="48"/>
      <c r="I26" s="48"/>
    </row>
    <row r="27" spans="2:10" x14ac:dyDescent="0.2">
      <c r="B27" s="66" t="s">
        <v>59</v>
      </c>
      <c r="C27" s="116" t="s">
        <v>65</v>
      </c>
      <c r="D27" s="66" t="s">
        <v>66</v>
      </c>
      <c r="E27" s="117" t="s">
        <v>62</v>
      </c>
      <c r="F27" s="65"/>
      <c r="G27" s="65"/>
      <c r="H27" s="65"/>
      <c r="I27" s="65"/>
    </row>
    <row r="28" spans="2:10" x14ac:dyDescent="0.2">
      <c r="B28" s="185" t="s">
        <v>59</v>
      </c>
      <c r="C28" s="42" t="s">
        <v>67</v>
      </c>
      <c r="D28" s="185" t="s">
        <v>68</v>
      </c>
      <c r="E28" s="186" t="s">
        <v>62</v>
      </c>
      <c r="F28" s="44"/>
      <c r="G28" s="44"/>
      <c r="H28" s="44"/>
      <c r="I28" s="44"/>
    </row>
    <row r="29" spans="2:10" x14ac:dyDescent="0.2">
      <c r="B29" s="66" t="s">
        <v>59</v>
      </c>
      <c r="C29" s="116" t="s">
        <v>69</v>
      </c>
      <c r="D29" s="66" t="s">
        <v>70</v>
      </c>
      <c r="E29" s="117" t="s">
        <v>62</v>
      </c>
      <c r="F29" s="65"/>
      <c r="G29" s="65"/>
      <c r="H29" s="65"/>
      <c r="I29" s="65"/>
    </row>
    <row r="30" spans="2:10" x14ac:dyDescent="0.2">
      <c r="B30" s="185" t="s">
        <v>59</v>
      </c>
      <c r="C30" s="42" t="s">
        <v>71</v>
      </c>
      <c r="D30" s="185" t="s">
        <v>72</v>
      </c>
      <c r="E30" s="186" t="s">
        <v>62</v>
      </c>
      <c r="F30" s="44"/>
      <c r="G30" s="44"/>
      <c r="H30" s="44"/>
      <c r="I30" s="44"/>
    </row>
    <row r="31" spans="2:10" x14ac:dyDescent="0.2">
      <c r="B31" s="66" t="s">
        <v>59</v>
      </c>
      <c r="C31" s="116" t="s">
        <v>73</v>
      </c>
      <c r="D31" s="116" t="s">
        <v>73</v>
      </c>
      <c r="E31" s="117" t="s">
        <v>62</v>
      </c>
      <c r="F31" s="65"/>
      <c r="G31" s="65"/>
      <c r="H31" s="65"/>
      <c r="I31" s="65"/>
    </row>
    <row r="32" spans="2:10" x14ac:dyDescent="0.2">
      <c r="B32" s="185" t="s">
        <v>59</v>
      </c>
      <c r="C32" s="42" t="s">
        <v>74</v>
      </c>
      <c r="D32" s="42" t="s">
        <v>75</v>
      </c>
      <c r="E32" s="186" t="s">
        <v>62</v>
      </c>
      <c r="F32" s="44"/>
      <c r="G32" s="44"/>
      <c r="H32" s="44"/>
      <c r="I32" s="44"/>
    </row>
    <row r="33" spans="2:9" x14ac:dyDescent="0.2">
      <c r="B33" s="66" t="s">
        <v>59</v>
      </c>
      <c r="C33" s="116" t="s">
        <v>76</v>
      </c>
      <c r="D33" s="116" t="s">
        <v>76</v>
      </c>
      <c r="E33" s="117" t="s">
        <v>62</v>
      </c>
      <c r="F33" s="65"/>
      <c r="G33" s="65"/>
      <c r="H33" s="65"/>
      <c r="I33" s="65"/>
    </row>
    <row r="34" spans="2:9" x14ac:dyDescent="0.2">
      <c r="B34" s="185" t="s">
        <v>59</v>
      </c>
      <c r="C34" s="42" t="s">
        <v>77</v>
      </c>
      <c r="D34" s="42" t="s">
        <v>77</v>
      </c>
      <c r="E34" s="186" t="s">
        <v>62</v>
      </c>
      <c r="F34" s="44"/>
      <c r="G34" s="44"/>
      <c r="H34" s="44"/>
      <c r="I34" s="44"/>
    </row>
    <row r="35" spans="2:9" x14ac:dyDescent="0.2">
      <c r="B35" s="66" t="s">
        <v>59</v>
      </c>
      <c r="C35" s="116" t="s">
        <v>78</v>
      </c>
      <c r="D35" s="116" t="s">
        <v>79</v>
      </c>
      <c r="E35" s="117" t="s">
        <v>62</v>
      </c>
      <c r="F35" s="65"/>
      <c r="G35" s="65"/>
      <c r="H35" s="65"/>
      <c r="I35" s="65"/>
    </row>
    <row r="36" spans="2:9" x14ac:dyDescent="0.2">
      <c r="B36" s="185" t="s">
        <v>59</v>
      </c>
      <c r="C36" s="42" t="s">
        <v>80</v>
      </c>
      <c r="D36" s="185" t="s">
        <v>81</v>
      </c>
      <c r="E36" s="186" t="s">
        <v>62</v>
      </c>
      <c r="F36" s="44"/>
      <c r="G36" s="44"/>
      <c r="H36" s="44"/>
      <c r="I36" s="44"/>
    </row>
    <row r="37" spans="2:9" x14ac:dyDescent="0.2">
      <c r="B37" s="66" t="s">
        <v>59</v>
      </c>
      <c r="C37" s="116" t="s">
        <v>31</v>
      </c>
      <c r="D37" s="66" t="s">
        <v>82</v>
      </c>
      <c r="E37" s="117" t="s">
        <v>62</v>
      </c>
      <c r="F37" s="65"/>
      <c r="G37" s="65"/>
      <c r="H37" s="65"/>
      <c r="I37" s="65"/>
    </row>
    <row r="38" spans="2:9" x14ac:dyDescent="0.2">
      <c r="B38" s="185" t="s">
        <v>59</v>
      </c>
      <c r="C38" s="42" t="s">
        <v>33</v>
      </c>
      <c r="D38" s="185" t="s">
        <v>83</v>
      </c>
      <c r="E38" s="186" t="s">
        <v>62</v>
      </c>
      <c r="F38" s="44"/>
      <c r="G38" s="44"/>
      <c r="H38" s="44"/>
      <c r="I38" s="44"/>
    </row>
    <row r="39" spans="2:9" x14ac:dyDescent="0.2">
      <c r="B39" s="66" t="s">
        <v>59</v>
      </c>
      <c r="C39" s="116" t="s">
        <v>35</v>
      </c>
      <c r="D39" s="66" t="s">
        <v>84</v>
      </c>
      <c r="E39" s="117" t="s">
        <v>62</v>
      </c>
      <c r="F39" s="65"/>
      <c r="G39" s="65"/>
      <c r="H39" s="65"/>
      <c r="I39" s="65"/>
    </row>
    <row r="40" spans="2:9" x14ac:dyDescent="0.2">
      <c r="B40" s="49" t="s">
        <v>59</v>
      </c>
      <c r="C40" s="114" t="s">
        <v>36</v>
      </c>
      <c r="D40" s="49" t="s">
        <v>85</v>
      </c>
      <c r="E40" s="115" t="s">
        <v>62</v>
      </c>
      <c r="F40" s="48"/>
      <c r="G40" s="48"/>
      <c r="H40" s="48"/>
      <c r="I40" s="48"/>
    </row>
    <row r="41" spans="2:9" x14ac:dyDescent="0.2">
      <c r="B41" s="66" t="s">
        <v>59</v>
      </c>
      <c r="C41" s="116" t="s">
        <v>39</v>
      </c>
      <c r="D41" s="66" t="s">
        <v>86</v>
      </c>
      <c r="E41" s="86" t="s">
        <v>62</v>
      </c>
      <c r="F41" s="65"/>
      <c r="G41" s="65"/>
      <c r="H41" s="65"/>
      <c r="I41" s="65"/>
    </row>
    <row r="42" spans="2:9" x14ac:dyDescent="0.2">
      <c r="B42" s="49" t="s">
        <v>59</v>
      </c>
      <c r="C42" s="114" t="s">
        <v>87</v>
      </c>
      <c r="D42" s="49" t="s">
        <v>87</v>
      </c>
      <c r="E42" s="123" t="s">
        <v>62</v>
      </c>
      <c r="F42" s="48"/>
      <c r="G42" s="48"/>
      <c r="H42" s="48"/>
      <c r="I42" s="48"/>
    </row>
    <row r="43" spans="2:9" x14ac:dyDescent="0.2">
      <c r="B43" s="66" t="s">
        <v>59</v>
      </c>
      <c r="C43" s="116" t="s">
        <v>40</v>
      </c>
      <c r="D43" s="66" t="s">
        <v>88</v>
      </c>
      <c r="E43" s="86" t="s">
        <v>62</v>
      </c>
      <c r="F43" s="65"/>
      <c r="G43" s="65"/>
      <c r="H43" s="65"/>
      <c r="I43" s="65"/>
    </row>
    <row r="44" spans="2:9" x14ac:dyDescent="0.2">
      <c r="B44" s="49" t="s">
        <v>59</v>
      </c>
      <c r="C44" s="114" t="s">
        <v>89</v>
      </c>
      <c r="D44" s="49" t="s">
        <v>90</v>
      </c>
      <c r="E44" s="123" t="s">
        <v>62</v>
      </c>
      <c r="F44" s="48"/>
      <c r="G44" s="48"/>
      <c r="H44" s="48"/>
      <c r="I44" s="48"/>
    </row>
    <row r="45" spans="2:9" x14ac:dyDescent="0.2">
      <c r="B45" s="66" t="s">
        <v>59</v>
      </c>
      <c r="C45" s="116" t="s">
        <v>91</v>
      </c>
      <c r="D45" s="66" t="s">
        <v>92</v>
      </c>
      <c r="E45" s="86" t="s">
        <v>62</v>
      </c>
      <c r="F45" s="65"/>
      <c r="G45" s="65"/>
      <c r="H45" s="65"/>
      <c r="I45" s="65"/>
    </row>
    <row r="46" spans="2:9" ht="13.5" customHeight="1" thickBot="1" x14ac:dyDescent="0.25">
      <c r="B46" s="196" t="s">
        <v>59</v>
      </c>
      <c r="C46" s="197" t="s">
        <v>38</v>
      </c>
      <c r="D46" s="196" t="s">
        <v>38</v>
      </c>
      <c r="E46" s="198" t="s">
        <v>62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customHeight="1" x14ac:dyDescent="0.25">
      <c r="B2" s="102" t="s">
        <v>295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</v>
      </c>
      <c r="F4" s="36"/>
      <c r="G4" s="36"/>
      <c r="H4" s="36"/>
      <c r="I4" s="34"/>
      <c r="J4" s="34"/>
    </row>
    <row r="5" spans="2:24" ht="15.75" customHeight="1" x14ac:dyDescent="0.2">
      <c r="B5" s="106" t="s">
        <v>2</v>
      </c>
      <c r="C5" s="106" t="s">
        <v>269</v>
      </c>
      <c r="D5" s="106" t="s">
        <v>4</v>
      </c>
      <c r="E5" s="106" t="s">
        <v>5</v>
      </c>
      <c r="F5" s="106" t="s">
        <v>6</v>
      </c>
      <c r="G5" s="106" t="s">
        <v>18</v>
      </c>
      <c r="H5" s="106" t="s">
        <v>296</v>
      </c>
      <c r="I5" s="106" t="s">
        <v>297</v>
      </c>
      <c r="J5" s="106" t="s">
        <v>298</v>
      </c>
      <c r="K5" s="106" t="s">
        <v>299</v>
      </c>
      <c r="L5" s="106" t="s">
        <v>300</v>
      </c>
      <c r="M5" s="106" t="s">
        <v>301</v>
      </c>
      <c r="N5" s="106" t="s">
        <v>302</v>
      </c>
      <c r="O5" s="106" t="s">
        <v>303</v>
      </c>
      <c r="P5" s="106" t="s">
        <v>10</v>
      </c>
      <c r="Q5" s="106" t="s">
        <v>11</v>
      </c>
      <c r="R5" s="106" t="s">
        <v>304</v>
      </c>
      <c r="S5" s="106" t="s">
        <v>305</v>
      </c>
      <c r="T5" s="106" t="s">
        <v>306</v>
      </c>
      <c r="U5" s="106" t="s">
        <v>307</v>
      </c>
      <c r="V5" s="106" t="s">
        <v>308</v>
      </c>
      <c r="W5" s="106" t="s">
        <v>309</v>
      </c>
      <c r="X5" s="106" t="s">
        <v>310</v>
      </c>
    </row>
    <row r="6" spans="2:24" ht="31.7" customHeight="1" x14ac:dyDescent="0.2">
      <c r="B6" s="118" t="s">
        <v>19</v>
      </c>
      <c r="C6" s="118" t="s">
        <v>20</v>
      </c>
      <c r="D6" s="118" t="s">
        <v>21</v>
      </c>
      <c r="E6" s="118" t="s">
        <v>22</v>
      </c>
      <c r="F6" s="118" t="s">
        <v>23</v>
      </c>
      <c r="G6" s="118" t="s">
        <v>311</v>
      </c>
      <c r="H6" s="118" t="s">
        <v>206</v>
      </c>
      <c r="I6" s="118"/>
      <c r="J6" s="118"/>
      <c r="K6" s="118" t="s">
        <v>312</v>
      </c>
      <c r="L6" s="118" t="s">
        <v>312</v>
      </c>
      <c r="M6" s="118" t="s">
        <v>312</v>
      </c>
      <c r="N6" s="118" t="s">
        <v>312</v>
      </c>
      <c r="O6" s="118" t="s">
        <v>312</v>
      </c>
      <c r="P6" s="118"/>
      <c r="Q6" s="118"/>
      <c r="R6" s="118" t="s">
        <v>313</v>
      </c>
      <c r="S6" s="118" t="s">
        <v>314</v>
      </c>
      <c r="T6" s="118" t="s">
        <v>315</v>
      </c>
      <c r="U6" s="118" t="s">
        <v>316</v>
      </c>
      <c r="V6" s="118" t="s">
        <v>317</v>
      </c>
      <c r="W6" s="118" t="s">
        <v>318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42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170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customHeight="1" x14ac:dyDescent="0.25">
      <c r="B2" s="149" t="s">
        <v>319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</v>
      </c>
      <c r="F4" s="151"/>
      <c r="G4" s="151"/>
      <c r="H4" s="151"/>
      <c r="I4" s="151"/>
      <c r="J4" s="151"/>
      <c r="K4" s="151"/>
    </row>
    <row r="5" spans="2:21" ht="25.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2" t="s">
        <v>320</v>
      </c>
      <c r="G5" s="152" t="s">
        <v>16</v>
      </c>
      <c r="H5" s="154" t="s">
        <v>321</v>
      </c>
      <c r="I5" s="154" t="s">
        <v>322</v>
      </c>
      <c r="J5" s="154" t="s">
        <v>323</v>
      </c>
      <c r="K5" s="154" t="s">
        <v>324</v>
      </c>
      <c r="L5" s="152" t="s">
        <v>297</v>
      </c>
      <c r="M5" s="152" t="s">
        <v>325</v>
      </c>
      <c r="N5" s="152" t="s">
        <v>326</v>
      </c>
      <c r="O5" s="159" t="s">
        <v>327</v>
      </c>
      <c r="P5" s="159" t="s">
        <v>328</v>
      </c>
      <c r="Q5" s="159" t="s">
        <v>329</v>
      </c>
      <c r="R5" s="159" t="s">
        <v>330</v>
      </c>
      <c r="S5" s="159" t="s">
        <v>331</v>
      </c>
      <c r="T5" s="159" t="s">
        <v>332</v>
      </c>
      <c r="U5" s="159" t="s">
        <v>333</v>
      </c>
    </row>
    <row r="6" spans="2:21" ht="13.5" customHeight="1" thickBot="1" x14ac:dyDescent="0.25">
      <c r="B6" s="155" t="s">
        <v>175</v>
      </c>
      <c r="C6" s="155"/>
      <c r="D6" s="155"/>
      <c r="E6" s="156"/>
      <c r="F6" s="156" t="s">
        <v>206</v>
      </c>
      <c r="G6" s="156"/>
      <c r="H6" s="156"/>
      <c r="I6" s="156"/>
      <c r="J6" s="156"/>
      <c r="K6" s="156"/>
      <c r="L6" s="155" t="s">
        <v>334</v>
      </c>
      <c r="M6" s="155" t="s">
        <v>335</v>
      </c>
      <c r="N6" s="155" t="s">
        <v>336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337</v>
      </c>
      <c r="K11">
        <f>H7*L7</f>
        <v>15.768000000000001</v>
      </c>
      <c r="L11" t="s">
        <v>249</v>
      </c>
    </row>
    <row r="12" spans="2:21" x14ac:dyDescent="0.2">
      <c r="K12">
        <f>K11/3.6</f>
        <v>4.38</v>
      </c>
      <c r="L12" t="s">
        <v>338</v>
      </c>
    </row>
    <row r="13" spans="2:21" x14ac:dyDescent="0.2">
      <c r="H13" t="s">
        <v>339</v>
      </c>
      <c r="K13">
        <v>2</v>
      </c>
    </row>
    <row r="14" spans="2:21" x14ac:dyDescent="0.2">
      <c r="H14" t="s">
        <v>340</v>
      </c>
      <c r="K14">
        <f>K13/K12</f>
        <v>0.45662100456621008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</v>
      </c>
      <c r="F4" s="151"/>
      <c r="G4" s="151"/>
      <c r="H4" s="151"/>
      <c r="I4" s="151"/>
      <c r="J4" s="151"/>
      <c r="K4" s="151"/>
      <c r="L4" s="151"/>
    </row>
    <row r="5" spans="2:22" ht="25.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2" t="s">
        <v>320</v>
      </c>
      <c r="G5" s="152" t="s">
        <v>16</v>
      </c>
      <c r="H5" s="154" t="s">
        <v>321</v>
      </c>
      <c r="I5" s="154" t="s">
        <v>322</v>
      </c>
      <c r="J5" s="154" t="s">
        <v>323</v>
      </c>
      <c r="K5" s="154" t="s">
        <v>341</v>
      </c>
      <c r="L5" s="154" t="s">
        <v>324</v>
      </c>
      <c r="M5" s="152" t="s">
        <v>297</v>
      </c>
      <c r="N5" s="152" t="s">
        <v>325</v>
      </c>
      <c r="O5" s="152" t="s">
        <v>326</v>
      </c>
      <c r="P5" s="159" t="s">
        <v>327</v>
      </c>
      <c r="Q5" s="159" t="s">
        <v>328</v>
      </c>
      <c r="R5" s="159" t="s">
        <v>329</v>
      </c>
      <c r="S5" s="159" t="s">
        <v>330</v>
      </c>
      <c r="T5" s="159" t="s">
        <v>331</v>
      </c>
      <c r="U5" s="159" t="s">
        <v>332</v>
      </c>
      <c r="V5" s="159" t="s">
        <v>333</v>
      </c>
    </row>
    <row r="6" spans="2:22" ht="13.5" customHeight="1" thickBot="1" x14ac:dyDescent="0.25">
      <c r="B6" s="155" t="s">
        <v>175</v>
      </c>
      <c r="C6" s="155"/>
      <c r="D6" s="155"/>
      <c r="E6" s="156"/>
      <c r="F6" s="156" t="s">
        <v>206</v>
      </c>
      <c r="G6" s="156"/>
      <c r="H6" s="156"/>
      <c r="I6" s="156"/>
      <c r="J6" s="156"/>
      <c r="K6" s="156"/>
      <c r="L6" s="156"/>
      <c r="M6" s="155" t="s">
        <v>334</v>
      </c>
      <c r="N6" s="155" t="s">
        <v>335</v>
      </c>
      <c r="O6" s="155" t="s">
        <v>336</v>
      </c>
      <c r="P6" s="155"/>
      <c r="Q6" s="155"/>
      <c r="R6" s="155" t="s">
        <v>342</v>
      </c>
      <c r="S6" s="155" t="s">
        <v>342</v>
      </c>
      <c r="T6" s="155" t="s">
        <v>342</v>
      </c>
      <c r="U6" s="155" t="s">
        <v>342</v>
      </c>
      <c r="V6" s="155" t="s">
        <v>342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343</v>
      </c>
      <c r="D15" t="s">
        <v>62</v>
      </c>
      <c r="F15" t="s">
        <v>344</v>
      </c>
      <c r="G15" t="s">
        <v>62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customHeight="1" x14ac:dyDescent="0.25">
      <c r="B2" s="149" t="s">
        <v>319</v>
      </c>
      <c r="C2" s="150"/>
      <c r="D2" s="150"/>
      <c r="E2" s="150"/>
      <c r="F2" s="150"/>
    </row>
    <row r="4" spans="2:21" x14ac:dyDescent="0.2">
      <c r="E4" s="151" t="s">
        <v>1</v>
      </c>
    </row>
    <row r="5" spans="2:21" ht="38.25" customHeight="1" x14ac:dyDescent="0.2">
      <c r="B5" s="152" t="s">
        <v>2</v>
      </c>
      <c r="C5" s="152" t="s">
        <v>3</v>
      </c>
      <c r="D5" s="152" t="s">
        <v>4</v>
      </c>
      <c r="E5" s="152" t="s">
        <v>5</v>
      </c>
      <c r="F5" s="153" t="s">
        <v>345</v>
      </c>
      <c r="G5" s="158" t="s">
        <v>346</v>
      </c>
      <c r="H5" s="154" t="s">
        <v>347</v>
      </c>
      <c r="I5" s="154" t="s">
        <v>322</v>
      </c>
      <c r="J5" s="154" t="s">
        <v>323</v>
      </c>
      <c r="K5" s="154" t="s">
        <v>348</v>
      </c>
      <c r="L5" s="154" t="s">
        <v>341</v>
      </c>
      <c r="M5" s="154" t="s">
        <v>349</v>
      </c>
      <c r="N5" s="154" t="s">
        <v>324</v>
      </c>
      <c r="O5" s="152" t="s">
        <v>297</v>
      </c>
      <c r="P5" s="152" t="s">
        <v>325</v>
      </c>
      <c r="Q5" s="152" t="s">
        <v>350</v>
      </c>
      <c r="R5" s="152" t="s">
        <v>17</v>
      </c>
      <c r="S5" s="152" t="s">
        <v>18</v>
      </c>
      <c r="T5" s="159" t="s">
        <v>351</v>
      </c>
      <c r="U5" s="160" t="s">
        <v>352</v>
      </c>
    </row>
    <row r="6" spans="2:21" ht="13.5" customHeight="1" thickBot="1" x14ac:dyDescent="0.25">
      <c r="B6" s="155" t="s">
        <v>175</v>
      </c>
      <c r="C6" s="155"/>
      <c r="D6" s="155"/>
      <c r="E6" s="156"/>
      <c r="F6" s="156"/>
      <c r="G6" s="155" t="s">
        <v>335</v>
      </c>
      <c r="H6" s="155" t="s">
        <v>206</v>
      </c>
      <c r="I6" s="155" t="s">
        <v>206</v>
      </c>
      <c r="J6" s="155" t="s">
        <v>206</v>
      </c>
      <c r="K6" s="155" t="s">
        <v>206</v>
      </c>
      <c r="L6" s="155" t="s">
        <v>206</v>
      </c>
      <c r="M6" s="155" t="s">
        <v>206</v>
      </c>
      <c r="N6" s="155" t="s">
        <v>206</v>
      </c>
      <c r="O6" s="155" t="s">
        <v>334</v>
      </c>
      <c r="P6" s="155" t="s">
        <v>335</v>
      </c>
      <c r="Q6" s="155" t="s">
        <v>353</v>
      </c>
      <c r="R6" s="155" t="s">
        <v>354</v>
      </c>
      <c r="S6" s="155" t="s">
        <v>355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356</v>
      </c>
      <c r="D7" s="12" t="s">
        <v>159</v>
      </c>
      <c r="E7" s="12" t="s">
        <v>159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59</v>
      </c>
      <c r="U7" s="12">
        <v>1</v>
      </c>
    </row>
    <row r="8" spans="2:21" ht="13.5" customHeight="1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357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customHeight="1" x14ac:dyDescent="0.2">
      <c r="B2" s="59" t="s">
        <v>358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359</v>
      </c>
      <c r="D4" s="40"/>
      <c r="E4" s="40"/>
      <c r="F4" s="40"/>
      <c r="G4" s="40"/>
    </row>
    <row r="5" spans="2:9" ht="15.75" customHeight="1" x14ac:dyDescent="0.2">
      <c r="B5" s="106" t="s">
        <v>2</v>
      </c>
      <c r="C5" s="106" t="s">
        <v>45</v>
      </c>
      <c r="D5" s="106" t="s">
        <v>60</v>
      </c>
      <c r="E5" s="106" t="s">
        <v>65</v>
      </c>
      <c r="F5" s="106" t="s">
        <v>80</v>
      </c>
      <c r="G5" s="106" t="s">
        <v>360</v>
      </c>
      <c r="I5" s="98" t="s">
        <v>361</v>
      </c>
    </row>
    <row r="6" spans="2:9" ht="38.25" customHeight="1" x14ac:dyDescent="0.2">
      <c r="B6" s="191" t="s">
        <v>19</v>
      </c>
      <c r="C6" s="191" t="s">
        <v>362</v>
      </c>
      <c r="D6" s="227" t="s">
        <v>363</v>
      </c>
      <c r="E6" s="228"/>
      <c r="F6" s="228"/>
      <c r="G6" s="228"/>
    </row>
    <row r="7" spans="2:9" ht="15.75" customHeight="1" x14ac:dyDescent="0.2">
      <c r="B7" s="189" t="str">
        <f>SEC_Processes!D15</f>
        <v>ELE_EX_HC</v>
      </c>
      <c r="C7" s="188" t="s">
        <v>173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173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173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364</v>
      </c>
    </row>
    <row r="4" spans="2:15" x14ac:dyDescent="0.2">
      <c r="B4" s="36" t="s">
        <v>365</v>
      </c>
    </row>
    <row r="5" spans="2:15" x14ac:dyDescent="0.2">
      <c r="B5" s="106" t="s">
        <v>366</v>
      </c>
      <c r="C5" s="106" t="s">
        <v>48</v>
      </c>
      <c r="D5" s="106" t="s">
        <v>367</v>
      </c>
      <c r="E5" s="106" t="s">
        <v>289</v>
      </c>
      <c r="F5" s="106" t="s">
        <v>368</v>
      </c>
      <c r="G5" s="106" t="s">
        <v>369</v>
      </c>
      <c r="H5" s="106" t="s">
        <v>370</v>
      </c>
      <c r="I5" s="106" t="s">
        <v>371</v>
      </c>
      <c r="J5" s="106" t="s">
        <v>372</v>
      </c>
      <c r="K5" s="106" t="s">
        <v>373</v>
      </c>
      <c r="L5" s="106" t="s">
        <v>374</v>
      </c>
      <c r="M5" s="106" t="s">
        <v>375</v>
      </c>
      <c r="N5" s="106" t="s">
        <v>376</v>
      </c>
      <c r="O5" s="106" t="s">
        <v>377</v>
      </c>
    </row>
    <row r="6" spans="2:15" x14ac:dyDescent="0.2">
      <c r="B6" s="209"/>
      <c r="C6" s="210" t="s">
        <v>378</v>
      </c>
      <c r="D6" s="211" t="s">
        <v>379</v>
      </c>
      <c r="E6" s="212"/>
      <c r="F6" s="212">
        <v>2</v>
      </c>
      <c r="G6" s="212"/>
      <c r="H6" s="209"/>
      <c r="I6" s="210" t="s">
        <v>380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2000-12-13T15:53:11Z</dcterms:created>
  <dcterms:modified xsi:type="dcterms:W3CDTF">2026-10-05T08:37:51Z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