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labee2\Desktop\myproject_08_05\"/>
    </mc:Choice>
  </mc:AlternateContent>
  <xr:revisionPtr revIDLastSave="0" documentId="13_ncr:1_{1B312F4D-FD02-41C5-9C5E-C28462FE49D6}" xr6:coauthVersionLast="47" xr6:coauthVersionMax="47" xr10:uidLastSave="{00000000-0000-0000-0000-000000000000}"/>
  <bookViews>
    <workbookView xWindow="2415" yWindow="2175" windowWidth="28230" windowHeight="15345" tabRatio="901" activeTab="9" xr2:uid="{00000000-000D-0000-FFFF-FFFF00000000}"/>
  </bookViews>
  <sheets>
    <sheet name="BALANCE" sheetId="1" r:id="rId1"/>
    <sheet name="TOPOLOGY" sheetId="2" r:id="rId2"/>
    <sheet name="SEC_Comm" sheetId="3" r:id="rId3"/>
    <sheet name="SEC_Processes" sheetId="4" r:id="rId4"/>
    <sheet name="REF" sheetId="5" r:id="rId5"/>
    <sheet name="PP" sheetId="6" r:id="rId6"/>
    <sheet name="RES" sheetId="7" r:id="rId7"/>
    <sheet name="T&amp;D" sheetId="8" r:id="rId8"/>
    <sheet name="IMP" sheetId="9" r:id="rId9"/>
    <sheet name="EXP" sheetId="10" r:id="rId10"/>
    <sheet name="STG" sheetId="11" r:id="rId11"/>
    <sheet name="EMI" sheetId="12" r:id="rId12"/>
    <sheet name="IMPNRGZ_BND" sheetId="13" r:id="rId13"/>
  </sheets>
  <externalReferences>
    <externalReference r:id="rId14"/>
  </externalReferences>
  <definedNames>
    <definedName name="_Order1">0</definedName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8" l="1"/>
  <c r="C12" i="8"/>
  <c r="I17" i="10"/>
  <c r="B9" i="12"/>
  <c r="B8" i="12"/>
  <c r="B7" i="12"/>
  <c r="B7" i="11"/>
  <c r="D7" i="10"/>
  <c r="C7" i="10"/>
  <c r="B7" i="10"/>
  <c r="J11" i="9"/>
  <c r="J12" i="9" s="1"/>
  <c r="J14" i="9" s="1"/>
  <c r="E7" i="9"/>
  <c r="C7" i="9"/>
  <c r="B7" i="9"/>
  <c r="D29" i="8"/>
  <c r="D30" i="8" s="1"/>
  <c r="C10" i="8"/>
  <c r="B10" i="8"/>
  <c r="E9" i="8"/>
  <c r="D8" i="8"/>
  <c r="C8" i="8"/>
  <c r="B8" i="8"/>
  <c r="X7" i="8"/>
  <c r="E7" i="8"/>
  <c r="D7" i="8"/>
  <c r="C7" i="8"/>
  <c r="B7" i="8"/>
  <c r="E36" i="6"/>
  <c r="E27" i="6"/>
  <c r="D27" i="6"/>
  <c r="C27" i="6"/>
  <c r="B27" i="6"/>
  <c r="E26" i="6"/>
  <c r="E17" i="6"/>
  <c r="D17" i="6"/>
  <c r="C17" i="6"/>
  <c r="B17" i="6"/>
  <c r="I8" i="6"/>
  <c r="H8" i="6"/>
  <c r="F8" i="6"/>
  <c r="E8" i="6"/>
  <c r="D8" i="6"/>
  <c r="C8" i="6"/>
  <c r="B8" i="6"/>
  <c r="H7" i="6"/>
  <c r="I7" i="6" s="1"/>
  <c r="F7" i="6"/>
  <c r="E7" i="6"/>
  <c r="D7" i="6"/>
  <c r="C7" i="6"/>
  <c r="B7" i="6"/>
  <c r="L45" i="5"/>
  <c r="U36" i="5" a="1"/>
  <c r="U40" i="5" s="1"/>
  <c r="T36" i="5" a="1"/>
  <c r="T44" i="5" s="1"/>
  <c r="E33" i="5"/>
  <c r="E15" i="5"/>
  <c r="O5" i="5"/>
  <c r="N5" i="5"/>
  <c r="M5" i="5"/>
  <c r="L5" i="5"/>
  <c r="K5" i="5"/>
  <c r="J5" i="5"/>
  <c r="C5" i="5"/>
  <c r="B5" i="5"/>
  <c r="E43" i="1"/>
  <c r="G16" i="1"/>
  <c r="F16" i="1"/>
  <c r="E16" i="1"/>
  <c r="D16" i="1"/>
  <c r="C14" i="7"/>
  <c r="B14" i="7"/>
  <c r="C13" i="7"/>
  <c r="B13" i="7"/>
  <c r="C12" i="7"/>
  <c r="B12" i="7"/>
  <c r="E11" i="7"/>
  <c r="C11" i="7"/>
  <c r="B11" i="7"/>
  <c r="E10" i="7"/>
  <c r="B10" i="7"/>
  <c r="E9" i="7"/>
  <c r="B9" i="7"/>
  <c r="E8" i="7"/>
  <c r="B8" i="7"/>
  <c r="E7" i="7"/>
  <c r="B7" i="7"/>
  <c r="U43" i="5" l="1"/>
  <c r="T38" i="5"/>
  <c r="V36" i="5" s="1" a="1"/>
  <c r="T39" i="5"/>
  <c r="T41" i="5"/>
  <c r="T45" i="5"/>
  <c r="T37" i="5"/>
  <c r="U44" i="5"/>
  <c r="T40" i="5"/>
  <c r="T42" i="5"/>
  <c r="U37" i="5"/>
  <c r="U38" i="5"/>
  <c r="T36" i="5"/>
  <c r="T43" i="5"/>
  <c r="U41" i="5"/>
  <c r="U39" i="5"/>
  <c r="U42" i="5"/>
  <c r="U36" i="5"/>
  <c r="V42" i="5" l="1"/>
  <c r="V41" i="5"/>
  <c r="V43" i="5"/>
  <c r="V40" i="5"/>
  <c r="V39" i="5"/>
  <c r="V44" i="5"/>
  <c r="V38" i="5"/>
  <c r="V36" i="5"/>
  <c r="V3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200-000001000000}">
      <text>
        <r>
          <rPr>
            <sz val="10"/>
            <rFont val="Arial"/>
            <family val="2"/>
          </rPr>
          <t>Amit Kanudia:
LO for PRODUCTION &gt;= CONSUMPTION (Default)
FX for PRODUCTION = CONSUMPTION
UP for PRODUCTION &lt;= CONSUMPTION</t>
        </r>
      </text>
    </comment>
    <comment ref="G5" authorId="1" shapeId="0" xr:uid="{00000000-0006-0000-0200-000002000000}">
      <text>
        <r>
          <rPr>
            <sz val="10"/>
            <rFont val="Arial"/>
            <family val="2"/>
          </rPr>
          <t>Allowed CTSLvl
SEASON (Seasonal level)
WEEKLY (Weekly level)
DAYNITE (day and night level)</t>
        </r>
      </text>
    </comment>
    <comment ref="H5" authorId="1" shapeId="0" xr:uid="{00000000-0006-0000-0200-000003000000}">
      <text>
        <r>
          <rPr>
            <sz val="10"/>
            <rFont val="Arial"/>
            <family val="2"/>
          </rPr>
          <t>Allowed PeakTS
ANNUAL (to generate Peak Equation for all the TimeSlices)
User TS (to generate Peak Equation for a single TS)</t>
        </r>
      </text>
    </comment>
    <comment ref="I5" authorId="1" shapeId="0" xr:uid="{00000000-0006-0000-0200-000004000000}">
      <text>
        <r>
          <rPr>
            <sz val="10"/>
            <rFont val="Arial"/>
            <family val="2"/>
          </rPr>
          <t>Allowed Ctype
ELC (Electricity)</t>
        </r>
      </text>
    </comment>
    <comment ref="B20" authorId="2" shapeId="0" xr:uid="{00000000-0006-0000-0200-000005000000}">
      <text>
        <r>
          <rPr>
            <sz val="10"/>
            <rFont val="Arial"/>
            <family val="2"/>
          </rPr>
          <t>Csets declarations are inherited until the next one is encountered.
Allowed Cset:
NRG (Energy)
ENV (Emission)
DEM (Demand)
MAT (Material)
FIN (Financial)</t>
        </r>
      </text>
    </comment>
    <comment ref="F20" authorId="0" shapeId="0" xr:uid="{00000000-0006-0000-0200-000006000000}">
      <text>
        <r>
          <rPr>
            <sz val="10"/>
            <rFont val="Arial"/>
            <family val="2"/>
          </rPr>
          <t>Amit Kanudia:
LO for PRODUCTION &gt;= CONSUMPTION (Default)
FX for PRODUCTION = CONSUMPTION
UP for PRODUCTION &lt;= CONSUMPTION</t>
        </r>
      </text>
    </comment>
    <comment ref="G20" authorId="1" shapeId="0" xr:uid="{00000000-0006-0000-0200-000007000000}">
      <text>
        <r>
          <rPr>
            <sz val="10"/>
            <rFont val="Arial"/>
            <family val="2"/>
          </rPr>
          <t>Allowed CTSLvl
SEASON (Seasonal level)
WEEKLY (Weekly level)
DAYNITE (day and night level)</t>
        </r>
      </text>
    </comment>
    <comment ref="H20" authorId="1" shapeId="0" xr:uid="{00000000-0006-0000-0200-000008000000}">
      <text>
        <r>
          <rPr>
            <sz val="10"/>
            <rFont val="Arial"/>
            <family val="2"/>
          </rPr>
          <t>Allowed PeakTS
ANNUAL (to generate Peak Equation for all the TimeSlices)
User TS (to generate Peak Equation for a single TS)</t>
        </r>
      </text>
    </comment>
    <comment ref="I20" authorId="1" shapeId="0" xr:uid="{00000000-0006-0000-0200-000009000000}">
      <text>
        <r>
          <rPr>
            <sz val="10"/>
            <rFont val="Arial"/>
            <family val="2"/>
          </rPr>
          <t>Allowed Ctype
ELC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300-000001000000}">
      <text>
        <r>
          <rPr>
            <sz val="10"/>
            <rFont val="Arial"/>
            <family val="2"/>
          </rPr>
          <t>Allowed TsLvl
ANNUAL (Annual level)
SEASON (Seasonal level)
WEEKLY (Weekly level)
DAYNITE (day and night level)</t>
        </r>
      </text>
    </comment>
    <comment ref="I5" authorId="1" shapeId="0" xr:uid="{00000000-0006-0000-0300-000002000000}">
      <text>
        <r>
          <rPr>
            <sz val="10"/>
            <rFont val="Arial"/>
            <family val="2"/>
          </rPr>
          <t xml:space="preserve">Amit Kanudia:
Needed only when one wants to override the VEDA default assignment
</t>
        </r>
      </text>
    </comment>
    <comment ref="J5" authorId="0" shapeId="0" xr:uid="{00000000-0006-0000-0300-000003000000}">
      <text>
        <r>
          <rPr>
            <sz val="10"/>
            <rFont val="Arial"/>
            <family val="2"/>
          </rPr>
          <t>Allowed Vintage
NO (if empty by default mean NO)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500-000001000000}">
      <text>
        <r>
          <rPr>
            <sz val="10"/>
            <rFont val="Arial"/>
            <family val="2"/>
          </rPr>
          <t>With this character *, this column is ignored from VEDA.
It is just useful for your information</t>
        </r>
      </text>
    </comment>
    <comment ref="C15" authorId="0" shapeId="0" xr:uid="{00000000-0006-0000-0500-000002000000}">
      <text>
        <r>
          <rPr>
            <sz val="10"/>
            <rFont val="Arial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600-000001000000}">
      <text>
        <r>
          <rPr>
            <sz val="10"/>
            <rFont val="Arial"/>
            <family val="2"/>
          </rPr>
          <t>With this character *, this column is ignored from VEDA.
It is just useful for your information</t>
        </r>
      </text>
    </comment>
    <comment ref="B22" authorId="1" shapeId="0" xr:uid="{00000000-0006-0000-0600-000002000000}">
      <text>
        <r>
          <rPr>
            <sz val="10"/>
            <rFont val="Arial"/>
            <family val="2"/>
          </rPr>
          <t>Csets declarations are inherited until the next one is encountered.
Allowed Cset:
NRG (Energy)
ENV (Emission)
DEM (Demand)
MAT (Material)
FIN (Financial)</t>
        </r>
      </text>
    </comment>
    <comment ref="F22" authorId="2" shapeId="0" xr:uid="{00000000-0006-0000-0600-000003000000}">
      <text>
        <r>
          <rPr>
            <sz val="10"/>
            <rFont val="Arial"/>
            <family val="2"/>
          </rPr>
          <t>Amit Kanudia:
LO for PRODUCTION &gt;= CONSUMPTION (Default)
FX for PRODUCTION = CONSUMPTION
UP for PRODUCTION &lt;= CONSUMPTION</t>
        </r>
      </text>
    </comment>
    <comment ref="G22" authorId="0" shapeId="0" xr:uid="{00000000-0006-0000-0600-000004000000}">
      <text>
        <r>
          <rPr>
            <sz val="10"/>
            <rFont val="Arial"/>
            <family val="2"/>
          </rPr>
          <t>Allowed CTSLvl
SEASON (Seasonal level)
WEEKLY (Weekly level)
DAYNITE (day and night level)</t>
        </r>
      </text>
    </comment>
    <comment ref="H22" authorId="0" shapeId="0" xr:uid="{00000000-0006-0000-0600-000005000000}">
      <text>
        <r>
          <rPr>
            <sz val="10"/>
            <rFont val="Arial"/>
            <family val="2"/>
          </rPr>
          <t>Allowed PeakTS
ANNUAL (to generate Peak Equation for all the TimeSlices)
User TS (to generate Peak Equation for a single TS)</t>
        </r>
      </text>
    </comment>
    <comment ref="I22" authorId="0" shapeId="0" xr:uid="{00000000-0006-0000-0600-000006000000}">
      <text>
        <r>
          <rPr>
            <sz val="10"/>
            <rFont val="Arial"/>
            <family val="2"/>
          </rPr>
          <t>Allowed Ctype
ELC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10"/>
            <rFont val="Arial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<sst xmlns="http://schemas.openxmlformats.org/spreadsheetml/2006/main" count="919" uniqueCount="379">
  <si>
    <t>Renewable Energy Sources</t>
  </si>
  <si>
    <t>~FI_T</t>
  </si>
  <si>
    <t>TechName</t>
  </si>
  <si>
    <t>*TechDesc</t>
  </si>
  <si>
    <t>Comm-IN</t>
  </si>
  <si>
    <t>Comm-OUT</t>
  </si>
  <si>
    <t>EFF</t>
  </si>
  <si>
    <t>CAP2ACT</t>
  </si>
  <si>
    <t>STOCK~2023</t>
  </si>
  <si>
    <t>STOCK~2025</t>
  </si>
  <si>
    <t>STOCK~2030</t>
  </si>
  <si>
    <t>STOCK~2035</t>
  </si>
  <si>
    <t>STOCK~2040</t>
  </si>
  <si>
    <t>STOCK~2045</t>
  </si>
  <si>
    <t>STOCK~2050</t>
  </si>
  <si>
    <t>PEAK</t>
  </si>
  <si>
    <t>AFA</t>
  </si>
  <si>
    <t>FIXOM</t>
  </si>
  <si>
    <t>VAROM</t>
  </si>
  <si>
    <t>\I: Technology Name</t>
  </si>
  <si>
    <t>Technology Description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</si>
  <si>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</si>
  <si>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</si>
  <si>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</si>
  <si>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</si>
  <si>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</si>
  <si>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</si>
  <si>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</si>
  <si>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[EUR/kW]</t>
  </si>
  <si>
    <t>Variable O&amp;M Costs [EUR/GJ]</t>
  </si>
  <si>
    <t>Existing Biomass power plant</t>
  </si>
  <si>
    <t>BIOMASS</t>
  </si>
  <si>
    <t>Existing Hidro pump system</t>
  </si>
  <si>
    <t>HIDRO</t>
  </si>
  <si>
    <t>Exiting Hidro turbines Run of river</t>
  </si>
  <si>
    <t>HIDRO_RUN</t>
  </si>
  <si>
    <t>HIDRO_STG_PUMP</t>
  </si>
  <si>
    <t>Existing Other</t>
  </si>
  <si>
    <t>OTHER</t>
  </si>
  <si>
    <t>WIND-ON</t>
  </si>
  <si>
    <t>SOLAR</t>
  </si>
  <si>
    <t>ELEC_MV_GRID</t>
  </si>
  <si>
    <t>ELEC_LV_GRID</t>
  </si>
  <si>
    <t>No tag - won't be read by Veda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</si>
  <si>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</si>
  <si>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</si>
  <si>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</si>
  <si>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</si>
  <si>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</si>
  <si>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</si>
  <si>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</si>
  <si>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</si>
  <si>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</si>
  <si>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</si>
  <si>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</si>
  <si>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</si>
  <si>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</si>
  <si>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</si>
  <si>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</si>
  <si>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</si>
  <si>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SOLID</t>
  </si>
  <si>
    <t>Solid Fuels</t>
  </si>
  <si>
    <t>PJ</t>
  </si>
  <si>
    <t>CRUDE_OIL</t>
  </si>
  <si>
    <t xml:space="preserve">Oil </t>
  </si>
  <si>
    <t>OILGAS</t>
  </si>
  <si>
    <t>Syngas_Res</t>
  </si>
  <si>
    <t>DIESEL</t>
  </si>
  <si>
    <t>Diesel</t>
  </si>
  <si>
    <t>GASOLINE</t>
  </si>
  <si>
    <t>Gasoline</t>
  </si>
  <si>
    <t>OGL</t>
  </si>
  <si>
    <t>OilGasLiquid</t>
  </si>
  <si>
    <t>FUEL_OIL</t>
  </si>
  <si>
    <t>Jet_Fuel</t>
  </si>
  <si>
    <t>Jet Fuel</t>
  </si>
  <si>
    <t>Lubricants</t>
  </si>
  <si>
    <t>Bitumen</t>
  </si>
  <si>
    <t>Ethy_and_Prop</t>
  </si>
  <si>
    <t>Ethy and Prop</t>
  </si>
  <si>
    <t>NLG</t>
  </si>
  <si>
    <t>Natural Liquid Gas</t>
  </si>
  <si>
    <t>Biomass</t>
  </si>
  <si>
    <t>Hidro pump</t>
  </si>
  <si>
    <t>Hidro run of river</t>
  </si>
  <si>
    <t>Hidro storage pump</t>
  </si>
  <si>
    <t>Onshore Wind Energy</t>
  </si>
  <si>
    <t>BIOGAS</t>
  </si>
  <si>
    <t>Solar Energy</t>
  </si>
  <si>
    <t>FUEL</t>
  </si>
  <si>
    <t>Fuel for engine</t>
  </si>
  <si>
    <t>HIDROGEN</t>
  </si>
  <si>
    <t>Hidrogen</t>
  </si>
  <si>
    <t>* Energy Balance / Bilans energii</t>
  </si>
  <si>
    <t>Table 1: Simple energy balance of Sardinia energy system in 2023</t>
  </si>
  <si>
    <t>Type of generating unit</t>
  </si>
  <si>
    <t>Generation unit type</t>
  </si>
  <si>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</si>
  <si>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</si>
  <si>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</si>
  <si>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</si>
  <si>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</si>
  <si>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Net Electric Power</t>
  </si>
  <si>
    <t>Net electricity generation</t>
  </si>
  <si>
    <t>Net heat generation</t>
  </si>
  <si>
    <t>Fuel used</t>
  </si>
  <si>
    <t>Average lower heating valuee</t>
  </si>
  <si>
    <t>MW</t>
  </si>
  <si>
    <t>GWh</t>
  </si>
  <si>
    <t>TJ</t>
  </si>
  <si>
    <t>kt</t>
  </si>
  <si>
    <t>kJ/kg</t>
  </si>
  <si>
    <t>mln m3</t>
  </si>
  <si>
    <t>kJ/m3</t>
  </si>
  <si>
    <t>Hard coal-fired power plant1</t>
  </si>
  <si>
    <t>Hard coal fired Electricity only power plant</t>
  </si>
  <si>
    <t>Oil waste power plant1</t>
  </si>
  <si>
    <t>Syngas fired Electicity only power plant</t>
  </si>
  <si>
    <t>Biomass power plant1</t>
  </si>
  <si>
    <t>Biomass fired Heat only plants</t>
  </si>
  <si>
    <t>Hidro</t>
  </si>
  <si>
    <t>Hidro pump only power plant</t>
  </si>
  <si>
    <t>Hidro_Run</t>
  </si>
  <si>
    <t xml:space="preserve">Hidro run of river </t>
  </si>
  <si>
    <t>Wind On Shore power plants</t>
  </si>
  <si>
    <t>Onshore Wind Turbines</t>
  </si>
  <si>
    <t>Solar power plants</t>
  </si>
  <si>
    <t>Large Scale Photovoltaics</t>
  </si>
  <si>
    <t>Together</t>
  </si>
  <si>
    <t>Total</t>
  </si>
  <si>
    <t>Source:</t>
  </si>
  <si>
    <t>1) energy balance Sardinia Region</t>
  </si>
  <si>
    <t>2) study based on data from Terna, the minister's oil bulletins, Istat and the GSE and RSE report (2023)</t>
  </si>
  <si>
    <t>3) EUROSTAT NRG_BAL, NRG_BAL_PEH.</t>
  </si>
  <si>
    <t>* Transmission &amp; Distribution Losses / Straty przesyłu i dystrybucji</t>
  </si>
  <si>
    <t>Tabela 2: Efficiency of Transmission and distribution of energy carriers in 2020</t>
  </si>
  <si>
    <t>Tabela 2: Sprawności przesyłu i transformacji nośników energii w sieci w 2020 r.</t>
  </si>
  <si>
    <t xml:space="preserve">Energy </t>
  </si>
  <si>
    <t>Energy carrier</t>
  </si>
  <si>
    <t>Przesył i transformacja</t>
  </si>
  <si>
    <t>Sprawność</t>
  </si>
  <si>
    <t>Transmission and distribution</t>
  </si>
  <si>
    <t>Energia elektryczna</t>
  </si>
  <si>
    <t>Electricity</t>
  </si>
  <si>
    <t>WN-WN | HV-HV</t>
  </si>
  <si>
    <t>WN-SN | HV-MV</t>
  </si>
  <si>
    <t>SN-nn | MV-LV</t>
  </si>
  <si>
    <t>* Final Energy Demand / Popyt na energię finalną</t>
  </si>
  <si>
    <t>Table 3: Final energy demand in 2023</t>
  </si>
  <si>
    <t>Nośnik energii</t>
  </si>
  <si>
    <t>Jednostka</t>
  </si>
  <si>
    <t>Zapotrzebowanie końcowe</t>
  </si>
  <si>
    <t>Final energy demand</t>
  </si>
  <si>
    <t>[TWh]</t>
  </si>
  <si>
    <t>Source / Źródło:</t>
  </si>
  <si>
    <t>1) opracowanie własne na podstawie "Statystyka Elektroenergetyki Polskiej 2020" - Ministerstwo Klimatu i Środowiska, Agencja Rynku Energii S.A., Warszawa 2021.</t>
  </si>
  <si>
    <t>2) opracowanie własne na podstawie "Energetyka Cieplna w Liczbach 2021" - Urząd Regulacji Energetyki, Warszawa 2022.</t>
  </si>
  <si>
    <t>Define Commodities</t>
  </si>
  <si>
    <t>~FI_Comm</t>
  </si>
  <si>
    <t>ELEC_HV</t>
  </si>
  <si>
    <t>High Voltage Electricity (&gt;110 kV)</t>
  </si>
  <si>
    <t>DAYNITE</t>
  </si>
  <si>
    <t>ANNUAL</t>
  </si>
  <si>
    <t>ELC</t>
  </si>
  <si>
    <t>ELEC_MV</t>
  </si>
  <si>
    <t>Medium voltage Electricity (20 -60 kV)</t>
  </si>
  <si>
    <t>ELEC_LV</t>
  </si>
  <si>
    <t>Low Voltage Electricity (&lt; 1kV)</t>
  </si>
  <si>
    <t>Grid medium voltage</t>
  </si>
  <si>
    <t>Grid low voltage</t>
  </si>
  <si>
    <t>ELEC_LV_DIST</t>
  </si>
  <si>
    <t>Distribution Low Voltage Electricity (&lt; 1kV)</t>
  </si>
  <si>
    <t>ENV</t>
  </si>
  <si>
    <t>CO2</t>
  </si>
  <si>
    <t>Carbon Dioxide Emission</t>
  </si>
  <si>
    <t>\I:</t>
  </si>
  <si>
    <t>Copy from SUP</t>
  </si>
  <si>
    <t>Available Commodity Sets</t>
  </si>
  <si>
    <t>Energy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</si>
  <si>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</si>
  <si>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</si>
  <si>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</si>
  <si>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</si>
  <si>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</si>
  <si>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</si>
  <si>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</si>
  <si>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</si>
  <si>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</si>
  <si>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</si>
  <si>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</si>
  <si>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</si>
  <si>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</si>
  <si>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</si>
  <si>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</si>
  <si>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</si>
  <si>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</si>
  <si>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</si>
  <si>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</si>
  <si>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</si>
  <si>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Activity Unit</t>
  </si>
  <si>
    <t>Capacity Unit</t>
  </si>
  <si>
    <t>Primary Commodity Group</t>
  </si>
  <si>
    <t>Vintage Tracking</t>
  </si>
  <si>
    <t>SAR</t>
  </si>
  <si>
    <t>MIN_EX_WIND-ON</t>
  </si>
  <si>
    <t>Wind-On Energy Mine</t>
  </si>
  <si>
    <t>GW</t>
  </si>
  <si>
    <t>MIN_EX_PV</t>
  </si>
  <si>
    <t>Solar Energy Mine</t>
  </si>
  <si>
    <t>MIN_EX_AUTOPR_PV</t>
  </si>
  <si>
    <t xml:space="preserve">Autoproducer PV Electicity </t>
  </si>
  <si>
    <t>ELE</t>
  </si>
  <si>
    <t>ELE_EX_WIND-ON</t>
  </si>
  <si>
    <t>Existing Onshore Wind Turbines</t>
  </si>
  <si>
    <t>ELE_EX_AUTOPR_PV</t>
  </si>
  <si>
    <t>Existing autoproducer PV Elecrticity</t>
  </si>
  <si>
    <t>ELE_EX_AUTOPR_PV_RES</t>
  </si>
  <si>
    <t>Existing autoproducer residential PV Elecrticity</t>
  </si>
  <si>
    <t>ELE_EX_PV</t>
  </si>
  <si>
    <t>Existing Photovoltaics</t>
  </si>
  <si>
    <t>ELE_EX_HC</t>
  </si>
  <si>
    <t>Existing Hard Coal Power Plants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</si>
  <si>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</si>
  <si>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</si>
  <si>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</si>
  <si>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</si>
  <si>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</si>
  <si>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</si>
  <si>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</si>
  <si>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</si>
  <si>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ELE_EX_HIDRO_STORAGE_PUMP</t>
  </si>
  <si>
    <t>Existing Hidro pump Storage Capacity</t>
  </si>
  <si>
    <t>ELE_EX_OTHER</t>
  </si>
  <si>
    <t>IMP</t>
  </si>
  <si>
    <t>IMP_ELC_HV</t>
  </si>
  <si>
    <t>Import of Electricity</t>
  </si>
  <si>
    <t>EXP</t>
  </si>
  <si>
    <t>EXP_ELC_HV</t>
  </si>
  <si>
    <t>Export of Electicity</t>
  </si>
  <si>
    <t>PRE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</si>
  <si>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</si>
  <si>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</si>
  <si>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</si>
  <si>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</si>
  <si>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DISTRIBU_LV</t>
  </si>
  <si>
    <t>Electricity distribution to Low Voltage</t>
  </si>
  <si>
    <t>REFINARY</t>
  </si>
  <si>
    <t>Refinary</t>
  </si>
  <si>
    <t>PJ/a</t>
  </si>
  <si>
    <t>Available Process Sets</t>
  </si>
  <si>
    <t>Power Plant (Electricity Only)</t>
  </si>
  <si>
    <t>CHP</t>
  </si>
  <si>
    <t>Combined Heat &amp; Power Plant</t>
  </si>
  <si>
    <t>STG</t>
  </si>
  <si>
    <t>Timeslice Storage</t>
  </si>
  <si>
    <t>Generic Process</t>
  </si>
  <si>
    <t>DMD</t>
  </si>
  <si>
    <t>Demand Process</t>
  </si>
  <si>
    <t>Shoud have commodity of type DEM on Output</t>
  </si>
  <si>
    <t>INSERT DEMAND FOR SECTOR</t>
  </si>
  <si>
    <t>Import</t>
  </si>
  <si>
    <t>Commodity only at Output</t>
  </si>
  <si>
    <t>Eksport</t>
  </si>
  <si>
    <t>Commodity only at Input</t>
  </si>
  <si>
    <t>MIN</t>
  </si>
  <si>
    <t>Mining</t>
  </si>
  <si>
    <t>HPL</t>
  </si>
  <si>
    <t>Heat Only Plant</t>
  </si>
  <si>
    <t>* TechDesc</t>
  </si>
  <si>
    <t>Share-O</t>
  </si>
  <si>
    <t>STOCK~2023~2024</t>
  </si>
  <si>
    <t>Installed Capacity [PJ/a]</t>
  </si>
  <si>
    <t>crude oil</t>
  </si>
  <si>
    <t>raffinery products</t>
  </si>
  <si>
    <t>PCI (GJ/t)</t>
  </si>
  <si>
    <t>crude</t>
  </si>
  <si>
    <t>Oil Gas liquid</t>
  </si>
  <si>
    <t>Jet fuel</t>
  </si>
  <si>
    <t>Oil fuel</t>
  </si>
  <si>
    <t>ethy and prop</t>
  </si>
  <si>
    <t>waste</t>
  </si>
  <si>
    <t>Power Plants</t>
  </si>
  <si>
    <t>AFA~2023~FX</t>
  </si>
  <si>
    <t>AFA~2025</t>
  </si>
  <si>
    <t>Alternative Syntax - one process</t>
  </si>
  <si>
    <t>Year</t>
  </si>
  <si>
    <t>STOCK</t>
  </si>
  <si>
    <t>Limit type [(in)equality sing]</t>
  </si>
  <si>
    <t>Fixed O&amp;M Costs [PLN/kW]</t>
  </si>
  <si>
    <t>Variable O&amp;M Costs [PLN/GJ]</t>
  </si>
  <si>
    <t>FX</t>
  </si>
  <si>
    <t>Transformation and Distribution Networks</t>
  </si>
  <si>
    <t>Stock</t>
  </si>
  <si>
    <t>Cap2Act</t>
  </si>
  <si>
    <t>INVCOST~2025</t>
  </si>
  <si>
    <t>INVCOST~2030</t>
  </si>
  <si>
    <t>INVCOST~2035</t>
  </si>
  <si>
    <t>INVCOST~2040</t>
  </si>
  <si>
    <t>INVCOST~2045</t>
  </si>
  <si>
    <t>INVCOST~2050</t>
  </si>
  <si>
    <t>ACT_BND~LO~2040</t>
  </si>
  <si>
    <t>ACT_BND~LO~2045</t>
  </si>
  <si>
    <t>ACT_BND~LO~2050</t>
  </si>
  <si>
    <t>NCAP_BND~LO~2040</t>
  </si>
  <si>
    <t>NCAP_BND~LO~2045</t>
  </si>
  <si>
    <t>NCAP_BND~LO~2050</t>
  </si>
  <si>
    <t>LOSSES</t>
  </si>
  <si>
    <t>Variable cost EUR/GJ</t>
  </si>
  <si>
    <t>Investiment Cost MEUR/GW</t>
  </si>
  <si>
    <t>Min distribuzione LV (ACT_BND~LO~2040)</t>
  </si>
  <si>
    <t>Min distribuzione LV (ACT_BND~LO~2045)</t>
  </si>
  <si>
    <t>Min distribuzione LV (ACT_BND~LO~2050)</t>
  </si>
  <si>
    <t>Capacità minima T&amp;D 1 GW (NCAP_BND~LO~2040)</t>
  </si>
  <si>
    <t>Capacità minima T&amp;D 1 GW (NCAP_BND~LO~2045)</t>
  </si>
  <si>
    <t>Capacità minima T&amp;D 1 GW (NCAP_BND~LO~2050)</t>
  </si>
  <si>
    <t>Magazyny energii | Energy storage</t>
  </si>
  <si>
    <t>Stock~2023</t>
  </si>
  <si>
    <t>Stock~2025</t>
  </si>
  <si>
    <t>Stock~2030</t>
  </si>
  <si>
    <t>Stock~2050</t>
  </si>
  <si>
    <t>Peak</t>
  </si>
  <si>
    <t>COST</t>
  </si>
  <si>
    <t>ACT_BND~2023</t>
  </si>
  <si>
    <t>ACT_BND~2025</t>
  </si>
  <si>
    <t>ACT_BND~2030</t>
  </si>
  <si>
    <t>ACT_BND~2035</t>
  </si>
  <si>
    <t>ACT_BND~2040</t>
  </si>
  <si>
    <t>ACT_BND~2045</t>
  </si>
  <si>
    <t>ACT_BND~2050</t>
  </si>
  <si>
    <t>PJ/GW</t>
  </si>
  <si>
    <t>%</t>
  </si>
  <si>
    <t>EUR/GJ</t>
  </si>
  <si>
    <t>annual limit</t>
  </si>
  <si>
    <t>TWh/a</t>
  </si>
  <si>
    <t>maximum import in reality</t>
  </si>
  <si>
    <t>ADA</t>
  </si>
  <si>
    <t>Stock~2040</t>
  </si>
  <si>
    <t>TWh</t>
  </si>
  <si>
    <t>Sardinia exp TWh</t>
  </si>
  <si>
    <t>Comm-OUT-A</t>
  </si>
  <si>
    <t>S_EFF</t>
  </si>
  <si>
    <t>Stock~2020</t>
  </si>
  <si>
    <t>Stock~2035</t>
  </si>
  <si>
    <t>Stock~2045</t>
  </si>
  <si>
    <t>LIFE</t>
  </si>
  <si>
    <t>CommGrp</t>
  </si>
  <si>
    <t>NCAP_AFC~DAYNITE</t>
  </si>
  <si>
    <t>YEAR</t>
  </si>
  <si>
    <t>EUR/kW</t>
  </si>
  <si>
    <t>zl/GJ</t>
  </si>
  <si>
    <t>Existing Pumped Storage Capacity</t>
  </si>
  <si>
    <t>ACT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</si>
  <si>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</si>
  <si>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</si>
  <si>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</si>
  <si>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</si>
  <si>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</si>
  <si>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Limite attività IMPNRGZ - forza uso catena T&amp;D reale</t>
  </si>
  <si>
    <t>~TFM_UPD</t>
  </si>
  <si>
    <t>TimeSlice</t>
  </si>
  <si>
    <t>Attribute</t>
  </si>
  <si>
    <t>AllRegions</t>
  </si>
  <si>
    <t>PL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</si>
  <si>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</si>
  <si>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</si>
  <si>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</si>
  <si>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</si>
  <si>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</si>
  <si>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</si>
  <si>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</si>
  <si>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</si>
  <si>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UP</t>
  </si>
  <si>
    <t>ACT_BND</t>
  </si>
  <si>
    <t>IMPNRGZ</t>
  </si>
  <si>
    <t>TRANSF_MV-HV</t>
  </si>
  <si>
    <t>Reverse flow MV to HV</t>
  </si>
  <si>
    <t>TRANSF_LV-MV</t>
  </si>
  <si>
    <t>Reverse flow LV to MV</t>
  </si>
  <si>
    <t>AFA~FX~0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</si>
</sst>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38" x14ac:knownFonts="1">
    <font>
      <sz val="10"/>
      <name val="Arial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sz val="12"/>
      <color indexed="56"/>
      <name val="Arial"/>
      <family val="2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u/>
      <sz val="10"/>
      <name val="Arial"/>
      <family val="2"/>
    </font>
    <font>
      <u/>
      <sz val="10"/>
      <name val="Arial"/>
      <family val="2"/>
      <charset val="238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3" fillId="0" borderId="0"/>
    <xf numFmtId="0" fontId="3" fillId="0" borderId="0"/>
    <xf numFmtId="0" fontId="3" fillId="0" borderId="0"/>
    <xf numFmtId="0" fontId="27" fillId="0" borderId="0"/>
    <xf numFmtId="0" fontId="27" fillId="0" borderId="0"/>
    <xf numFmtId="9" fontId="27" fillId="0" borderId="0"/>
    <xf numFmtId="0" fontId="18" fillId="0" borderId="0"/>
    <xf numFmtId="9" fontId="27" fillId="0" borderId="0"/>
    <xf numFmtId="0" fontId="19" fillId="0" borderId="0"/>
    <xf numFmtId="0" fontId="20" fillId="0" borderId="0"/>
    <xf numFmtId="0" fontId="27" fillId="0" borderId="0"/>
    <xf numFmtId="0" fontId="18" fillId="0" borderId="0"/>
    <xf numFmtId="9" fontId="27" fillId="0" borderId="0"/>
    <xf numFmtId="0" fontId="27" fillId="0" borderId="0"/>
    <xf numFmtId="9" fontId="27" fillId="0" borderId="0"/>
    <xf numFmtId="0" fontId="27" fillId="0" borderId="0"/>
    <xf numFmtId="0" fontId="27" fillId="0" borderId="0"/>
    <xf numFmtId="0" fontId="3" fillId="0" borderId="0"/>
  </cellStyleXfs>
  <cellXfs count="229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1" fillId="8" borderId="7" xfId="0" applyFont="1" applyFill="1" applyBorder="1"/>
    <xf numFmtId="2" fontId="11" fillId="9" borderId="0" xfId="0" applyNumberFormat="1" applyFont="1" applyFill="1"/>
    <xf numFmtId="164" fontId="11" fillId="8" borderId="0" xfId="0" applyNumberFormat="1" applyFont="1" applyFill="1"/>
    <xf numFmtId="165" fontId="11" fillId="8" borderId="0" xfId="0" applyNumberFormat="1" applyFont="1" applyFill="1"/>
    <xf numFmtId="0" fontId="11" fillId="8" borderId="0" xfId="0" applyFont="1" applyFill="1"/>
    <xf numFmtId="164" fontId="11" fillId="9" borderId="0" xfId="0" applyNumberFormat="1" applyFont="1" applyFill="1"/>
    <xf numFmtId="0" fontId="11" fillId="9" borderId="0" xfId="0" applyFont="1" applyFill="1"/>
    <xf numFmtId="2" fontId="11" fillId="8" borderId="24" xfId="0" applyNumberFormat="1" applyFont="1" applyFill="1" applyBorder="1"/>
    <xf numFmtId="164" fontId="11" fillId="8" borderId="24" xfId="0" applyNumberFormat="1" applyFont="1" applyFill="1" applyBorder="1"/>
    <xf numFmtId="0" fontId="11" fillId="8" borderId="24" xfId="0" applyFont="1" applyFill="1" applyBorder="1"/>
    <xf numFmtId="166" fontId="11" fillId="12" borderId="23" xfId="1" applyNumberFormat="1" applyFont="1" applyFill="1" applyBorder="1" applyAlignment="1">
      <alignment vertical="center" wrapText="1"/>
    </xf>
    <xf numFmtId="0" fontId="11" fillId="12" borderId="23" xfId="0" applyFont="1" applyFill="1" applyBorder="1" applyAlignment="1">
      <alignment horizontal="center" vertical="center" wrapText="1"/>
    </xf>
    <xf numFmtId="166" fontId="11" fillId="12" borderId="23" xfId="1" applyNumberFormat="1" applyFont="1" applyFill="1" applyBorder="1" applyAlignment="1">
      <alignment horizontal="center" vertical="center" wrapText="1"/>
    </xf>
    <xf numFmtId="166" fontId="16" fillId="11" borderId="22" xfId="0" applyNumberFormat="1" applyFont="1" applyFill="1" applyBorder="1" applyAlignment="1">
      <alignment horizontal="center" vertical="center" wrapText="1"/>
    </xf>
    <xf numFmtId="0" fontId="16" fillId="11" borderId="22" xfId="0" applyFont="1" applyFill="1" applyBorder="1" applyAlignment="1">
      <alignment horizontal="center" vertical="center"/>
    </xf>
    <xf numFmtId="166" fontId="16" fillId="11" borderId="22" xfId="0" applyNumberFormat="1" applyFont="1" applyFill="1" applyBorder="1" applyAlignment="1">
      <alignment horizontal="center" vertical="center"/>
    </xf>
    <xf numFmtId="166" fontId="3" fillId="3" borderId="4" xfId="1" applyNumberForma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/>
    </xf>
    <xf numFmtId="0" fontId="17" fillId="0" borderId="0" xfId="0" applyFont="1"/>
    <xf numFmtId="0" fontId="11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5" fillId="0" borderId="0" xfId="0" applyFont="1"/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7" fillId="0" borderId="0" xfId="0" applyFont="1"/>
    <xf numFmtId="0" fontId="6" fillId="0" borderId="0" xfId="0" applyFont="1" applyAlignment="1">
      <alignment horizontal="right"/>
    </xf>
    <xf numFmtId="0" fontId="9" fillId="0" borderId="0" xfId="0" applyFont="1"/>
    <xf numFmtId="0" fontId="3" fillId="0" borderId="0" xfId="3"/>
    <xf numFmtId="0" fontId="3" fillId="0" borderId="0" xfId="3" applyAlignment="1">
      <alignment horizontal="right"/>
    </xf>
    <xf numFmtId="0" fontId="5" fillId="0" borderId="0" xfId="3" applyFont="1" applyAlignment="1">
      <alignment horizontal="left"/>
    </xf>
    <xf numFmtId="0" fontId="6" fillId="0" borderId="0" xfId="3" applyFont="1" applyAlignment="1">
      <alignment horizontal="right"/>
    </xf>
    <xf numFmtId="0" fontId="15" fillId="0" borderId="5" xfId="0" applyFont="1" applyBorder="1" applyAlignment="1">
      <alignment horizontal="left"/>
    </xf>
    <xf numFmtId="0" fontId="14" fillId="4" borderId="0" xfId="0" applyFont="1" applyFill="1"/>
    <xf numFmtId="0" fontId="13" fillId="0" borderId="0" xfId="0" applyFont="1"/>
    <xf numFmtId="166" fontId="2" fillId="4" borderId="0" xfId="0" applyNumberFormat="1" applyFont="1" applyFill="1"/>
    <xf numFmtId="166" fontId="3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0" fontId="0" fillId="5" borderId="0" xfId="0" applyFill="1"/>
    <xf numFmtId="0" fontId="3" fillId="5" borderId="0" xfId="0" applyFont="1" applyFill="1"/>
    <xf numFmtId="164" fontId="3" fillId="5" borderId="0" xfId="0" applyNumberFormat="1" applyFont="1" applyFill="1"/>
    <xf numFmtId="166" fontId="0" fillId="5" borderId="0" xfId="0" applyNumberFormat="1" applyFill="1"/>
    <xf numFmtId="166" fontId="11" fillId="5" borderId="0" xfId="0" applyNumberFormat="1" applyFont="1" applyFill="1"/>
    <xf numFmtId="165" fontId="0" fillId="0" borderId="0" xfId="0" applyNumberFormat="1"/>
    <xf numFmtId="0" fontId="10" fillId="0" borderId="0" xfId="2" applyFont="1" applyAlignment="1">
      <alignment horizontal="center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167" fontId="11" fillId="0" borderId="0" xfId="9" applyNumberFormat="1" applyFont="1" applyAlignment="1">
      <alignment horizontal="right" vertical="center"/>
    </xf>
    <xf numFmtId="167" fontId="11" fillId="0" borderId="0" xfId="9" applyNumberFormat="1" applyFont="1" applyAlignment="1">
      <alignment horizontal="center" vertical="center"/>
    </xf>
    <xf numFmtId="2" fontId="11" fillId="0" borderId="0" xfId="0" applyNumberFormat="1" applyFont="1"/>
    <xf numFmtId="2" fontId="0" fillId="0" borderId="0" xfId="0" applyNumberFormat="1"/>
    <xf numFmtId="0" fontId="22" fillId="4" borderId="0" xfId="0" quotePrefix="1" applyFont="1" applyFill="1" applyAlignment="1">
      <alignment horizontal="left"/>
    </xf>
    <xf numFmtId="0" fontId="15" fillId="0" borderId="0" xfId="0" applyFont="1" applyAlignment="1">
      <alignment horizontal="left"/>
    </xf>
    <xf numFmtId="0" fontId="3" fillId="7" borderId="0" xfId="0" applyFont="1" applyFill="1"/>
    <xf numFmtId="0" fontId="0" fillId="7" borderId="0" xfId="0" applyFill="1"/>
    <xf numFmtId="0" fontId="3" fillId="7" borderId="6" xfId="0" applyFont="1" applyFill="1" applyBorder="1"/>
    <xf numFmtId="0" fontId="11" fillId="7" borderId="6" xfId="0" applyFont="1" applyFill="1" applyBorder="1"/>
    <xf numFmtId="166" fontId="0" fillId="7" borderId="0" xfId="0" applyNumberFormat="1" applyFill="1"/>
    <xf numFmtId="166" fontId="11" fillId="7" borderId="0" xfId="0" applyNumberFormat="1" applyFont="1" applyFill="1"/>
    <xf numFmtId="167" fontId="23" fillId="0" borderId="1" xfId="9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 vertical="center"/>
    </xf>
    <xf numFmtId="0" fontId="12" fillId="0" borderId="0" xfId="0" applyFont="1"/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/>
    </xf>
    <xf numFmtId="0" fontId="21" fillId="0" borderId="10" xfId="10" applyFont="1" applyBorder="1" applyAlignment="1">
      <alignment horizontal="left" vertical="center"/>
    </xf>
    <xf numFmtId="0" fontId="21" fillId="0" borderId="12" xfId="0" applyFont="1" applyBorder="1" applyAlignment="1">
      <alignment horizontal="left"/>
    </xf>
    <xf numFmtId="167" fontId="23" fillId="0" borderId="2" xfId="9" applyNumberFormat="1" applyFont="1" applyBorder="1" applyAlignment="1">
      <alignment horizontal="center" vertical="center"/>
    </xf>
    <xf numFmtId="167" fontId="21" fillId="0" borderId="2" xfId="9" applyNumberFormat="1" applyFont="1" applyBorder="1" applyAlignment="1">
      <alignment horizontal="center" vertical="center"/>
    </xf>
    <xf numFmtId="167" fontId="23" fillId="0" borderId="13" xfId="9" applyNumberFormat="1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3" fillId="0" borderId="10" xfId="0" applyFont="1" applyBorder="1"/>
    <xf numFmtId="164" fontId="23" fillId="0" borderId="11" xfId="0" applyNumberFormat="1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164" fontId="11" fillId="7" borderId="6" xfId="0" applyNumberFormat="1" applyFont="1" applyFill="1" applyBorder="1"/>
    <xf numFmtId="168" fontId="11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3" fillId="5" borderId="0" xfId="0" applyNumberFormat="1" applyFont="1" applyFill="1" applyAlignment="1">
      <alignment horizontal="right"/>
    </xf>
    <xf numFmtId="0" fontId="3" fillId="5" borderId="0" xfId="0" applyFont="1" applyFill="1" applyAlignment="1">
      <alignment horizontal="right"/>
    </xf>
    <xf numFmtId="2" fontId="3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3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3" fillId="5" borderId="0" xfId="0" applyNumberFormat="1" applyFont="1" applyFill="1"/>
    <xf numFmtId="2" fontId="11" fillId="7" borderId="6" xfId="0" applyNumberFormat="1" applyFont="1" applyFill="1" applyBorder="1"/>
    <xf numFmtId="0" fontId="11" fillId="7" borderId="6" xfId="0" applyFont="1" applyFill="1" applyBorder="1" applyAlignment="1">
      <alignment horizontal="left"/>
    </xf>
    <xf numFmtId="0" fontId="16" fillId="0" borderId="0" xfId="0" applyFont="1"/>
    <xf numFmtId="0" fontId="11" fillId="8" borderId="14" xfId="0" applyFont="1" applyFill="1" applyBorder="1"/>
    <xf numFmtId="0" fontId="2" fillId="4" borderId="0" xfId="0" quotePrefix="1" applyFont="1" applyFill="1"/>
    <xf numFmtId="0" fontId="6" fillId="4" borderId="0" xfId="0" applyFont="1" applyFill="1"/>
    <xf numFmtId="0" fontId="25" fillId="4" borderId="0" xfId="0" quotePrefix="1" applyFont="1" applyFill="1" applyAlignment="1">
      <alignment horizontal="left"/>
    </xf>
    <xf numFmtId="0" fontId="10" fillId="0" borderId="0" xfId="2" applyFont="1" applyAlignment="1">
      <alignment horizontal="left"/>
    </xf>
    <xf numFmtId="0" fontId="2" fillId="4" borderId="0" xfId="0" applyFont="1" applyFill="1" applyAlignment="1">
      <alignment readingOrder="1"/>
    </xf>
    <xf numFmtId="164" fontId="0" fillId="0" borderId="0" xfId="0" applyNumberFormat="1"/>
    <xf numFmtId="166" fontId="1" fillId="2" borderId="4" xfId="0" applyNumberFormat="1" applyFont="1" applyFill="1" applyBorder="1" applyAlignment="1">
      <alignment horizontal="center" vertical="center"/>
    </xf>
    <xf numFmtId="166" fontId="1" fillId="2" borderId="4" xfId="0" applyNumberFormat="1" applyFont="1" applyFill="1" applyBorder="1" applyAlignment="1">
      <alignment horizontal="center" vertical="center" wrapText="1"/>
    </xf>
    <xf numFmtId="0" fontId="21" fillId="0" borderId="15" xfId="10" applyFont="1" applyBorder="1" applyAlignment="1">
      <alignment horizontal="left" vertical="center"/>
    </xf>
    <xf numFmtId="0" fontId="21" fillId="0" borderId="16" xfId="0" applyFont="1" applyBorder="1" applyAlignment="1">
      <alignment horizontal="left"/>
    </xf>
    <xf numFmtId="0" fontId="23" fillId="0" borderId="15" xfId="0" applyFont="1" applyBorder="1"/>
    <xf numFmtId="0" fontId="21" fillId="0" borderId="19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/>
    </xf>
    <xf numFmtId="0" fontId="26" fillId="0" borderId="0" xfId="0" applyFont="1"/>
    <xf numFmtId="166" fontId="3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3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66" fontId="3" fillId="3" borderId="0" xfId="1" applyNumberFormat="1" applyFill="1" applyAlignment="1">
      <alignment horizontal="center" vertical="center" wrapText="1"/>
    </xf>
    <xf numFmtId="166" fontId="28" fillId="8" borderId="14" xfId="0" applyNumberFormat="1" applyFont="1" applyFill="1" applyBorder="1" applyAlignment="1">
      <alignment horizontal="left"/>
    </xf>
    <xf numFmtId="166" fontId="28" fillId="8" borderId="0" xfId="0" applyNumberFormat="1" applyFont="1" applyFill="1" applyAlignment="1">
      <alignment horizontal="left"/>
    </xf>
    <xf numFmtId="166" fontId="28" fillId="8" borderId="14" xfId="0" applyNumberFormat="1" applyFont="1" applyFill="1" applyBorder="1"/>
    <xf numFmtId="166" fontId="28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29" fillId="0" borderId="1" xfId="9" applyNumberFormat="1" applyFont="1" applyBorder="1" applyAlignment="1">
      <alignment horizontal="center" vertical="center"/>
    </xf>
    <xf numFmtId="167" fontId="29" fillId="0" borderId="11" xfId="9" applyNumberFormat="1" applyFont="1" applyBorder="1" applyAlignment="1">
      <alignment horizontal="center" vertical="center"/>
    </xf>
    <xf numFmtId="166" fontId="28" fillId="7" borderId="0" xfId="0" applyNumberFormat="1" applyFont="1" applyFill="1" applyAlignment="1">
      <alignment horizontal="left"/>
    </xf>
    <xf numFmtId="166" fontId="28" fillId="7" borderId="0" xfId="0" applyNumberFormat="1" applyFont="1" applyFill="1"/>
    <xf numFmtId="166" fontId="28" fillId="5" borderId="0" xfId="0" applyNumberFormat="1" applyFont="1" applyFill="1" applyAlignment="1">
      <alignment horizontal="left"/>
    </xf>
    <xf numFmtId="166" fontId="28" fillId="5" borderId="0" xfId="0" applyNumberFormat="1" applyFont="1" applyFill="1"/>
    <xf numFmtId="167" fontId="32" fillId="0" borderId="1" xfId="9" applyNumberFormat="1" applyFont="1" applyBorder="1" applyAlignment="1">
      <alignment horizontal="center" vertical="center"/>
    </xf>
    <xf numFmtId="164" fontId="3" fillId="7" borderId="0" xfId="0" applyNumberFormat="1" applyFont="1" applyFill="1"/>
    <xf numFmtId="2" fontId="11" fillId="7" borderId="0" xfId="0" applyNumberFormat="1" applyFont="1" applyFill="1"/>
    <xf numFmtId="0" fontId="11" fillId="7" borderId="0" xfId="0" applyFont="1" applyFill="1"/>
    <xf numFmtId="166" fontId="3" fillId="5" borderId="0" xfId="1" applyNumberFormat="1" applyFill="1" applyAlignment="1">
      <alignment horizontal="left" vertical="center" wrapText="1"/>
    </xf>
    <xf numFmtId="166" fontId="3" fillId="7" borderId="0" xfId="1" applyNumberFormat="1" applyFill="1" applyAlignment="1">
      <alignment horizontal="left" vertical="center" wrapText="1"/>
    </xf>
    <xf numFmtId="166" fontId="3" fillId="7" borderId="0" xfId="1" applyNumberFormat="1" applyFill="1" applyAlignment="1">
      <alignment horizontal="left" wrapText="1"/>
    </xf>
    <xf numFmtId="164" fontId="3" fillId="7" borderId="0" xfId="1" applyNumberFormat="1" applyFill="1" applyAlignment="1">
      <alignment horizontal="right" wrapText="1"/>
    </xf>
    <xf numFmtId="2" fontId="3" fillId="7" borderId="0" xfId="1" applyNumberFormat="1" applyFill="1" applyAlignment="1">
      <alignment horizontal="right" wrapText="1"/>
    </xf>
    <xf numFmtId="164" fontId="11" fillId="7" borderId="0" xfId="0" applyNumberFormat="1" applyFont="1" applyFill="1"/>
    <xf numFmtId="164" fontId="33" fillId="5" borderId="0" xfId="0" applyNumberFormat="1" applyFont="1" applyFill="1"/>
    <xf numFmtId="164" fontId="33" fillId="7" borderId="6" xfId="0" applyNumberFormat="1" applyFont="1" applyFill="1" applyBorder="1"/>
    <xf numFmtId="2" fontId="3" fillId="7" borderId="6" xfId="0" applyNumberFormat="1" applyFont="1" applyFill="1" applyBorder="1" applyAlignment="1">
      <alignment horizontal="right"/>
    </xf>
    <xf numFmtId="2" fontId="11" fillId="8" borderId="0" xfId="0" applyNumberFormat="1" applyFont="1" applyFill="1"/>
    <xf numFmtId="164" fontId="23" fillId="0" borderId="11" xfId="11" applyNumberFormat="1" applyFont="1" applyBorder="1" applyAlignment="1">
      <alignment horizontal="center" vertical="center"/>
    </xf>
    <xf numFmtId="0" fontId="34" fillId="4" borderId="0" xfId="16" applyFont="1" applyFill="1"/>
    <xf numFmtId="0" fontId="2" fillId="4" borderId="0" xfId="16" applyFont="1" applyFill="1"/>
    <xf numFmtId="0" fontId="5" fillId="0" borderId="0" xfId="16" applyFont="1"/>
    <xf numFmtId="0" fontId="16" fillId="11" borderId="22" xfId="17" applyFont="1" applyFill="1" applyBorder="1" applyAlignment="1">
      <alignment horizontal="center" vertical="center"/>
    </xf>
    <xf numFmtId="0" fontId="16" fillId="11" borderId="22" xfId="0" applyFont="1" applyFill="1" applyBorder="1" applyAlignment="1">
      <alignment horizontal="center" vertical="center" wrapText="1"/>
    </xf>
    <xf numFmtId="0" fontId="16" fillId="11" borderId="22" xfId="17" applyFont="1" applyFill="1" applyBorder="1" applyAlignment="1">
      <alignment horizontal="center" vertical="center" wrapText="1"/>
    </xf>
    <xf numFmtId="0" fontId="11" fillId="12" borderId="26" xfId="18" applyFont="1" applyFill="1" applyBorder="1" applyAlignment="1">
      <alignment horizontal="center" vertical="center" wrapText="1"/>
    </xf>
    <xf numFmtId="0" fontId="11" fillId="12" borderId="26" xfId="0" applyFont="1" applyFill="1" applyBorder="1" applyAlignment="1">
      <alignment horizontal="center" vertical="center" wrapText="1"/>
    </xf>
    <xf numFmtId="0" fontId="11" fillId="9" borderId="7" xfId="0" applyFont="1" applyFill="1" applyBorder="1"/>
    <xf numFmtId="0" fontId="16" fillId="13" borderId="22" xfId="17" applyFont="1" applyFill="1" applyBorder="1" applyAlignment="1">
      <alignment horizontal="center" vertical="center"/>
    </xf>
    <xf numFmtId="0" fontId="35" fillId="14" borderId="27" xfId="17" applyFont="1" applyFill="1" applyBorder="1" applyAlignment="1">
      <alignment horizontal="center" vertical="center" wrapText="1"/>
    </xf>
    <xf numFmtId="0" fontId="35" fillId="11" borderId="22" xfId="17" applyFont="1" applyFill="1" applyBorder="1" applyAlignment="1">
      <alignment horizontal="center" vertical="center" wrapText="1"/>
    </xf>
    <xf numFmtId="0" fontId="11" fillId="13" borderId="24" xfId="0" applyFont="1" applyFill="1" applyBorder="1"/>
    <xf numFmtId="166" fontId="3" fillId="0" borderId="0" xfId="1" applyNumberFormat="1" applyAlignment="1">
      <alignment horizontal="center" vertical="center" wrapText="1"/>
    </xf>
    <xf numFmtId="0" fontId="28" fillId="0" borderId="0" xfId="0" applyFont="1"/>
    <xf numFmtId="0" fontId="0" fillId="0" borderId="5" xfId="0" applyBorder="1"/>
    <xf numFmtId="0" fontId="36" fillId="7" borderId="6" xfId="0" applyFont="1" applyFill="1" applyBorder="1"/>
    <xf numFmtId="0" fontId="36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3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3" fillId="7" borderId="0" xfId="0" applyNumberFormat="1" applyFont="1" applyFill="1" applyAlignment="1">
      <alignment horizontal="right"/>
    </xf>
    <xf numFmtId="2" fontId="3" fillId="0" borderId="0" xfId="0" applyNumberFormat="1" applyFont="1" applyAlignment="1">
      <alignment horizontal="right"/>
    </xf>
    <xf numFmtId="0" fontId="3" fillId="7" borderId="29" xfId="0" applyFont="1" applyFill="1" applyBorder="1"/>
    <xf numFmtId="2" fontId="31" fillId="7" borderId="0" xfId="0" applyNumberFormat="1" applyFont="1" applyFill="1" applyAlignment="1">
      <alignment horizontal="right"/>
    </xf>
    <xf numFmtId="166" fontId="3" fillId="2" borderId="4" xfId="0" applyNumberFormat="1" applyFont="1" applyFill="1" applyBorder="1" applyAlignment="1">
      <alignment horizontal="center" vertical="center"/>
    </xf>
    <xf numFmtId="0" fontId="11" fillId="7" borderId="7" xfId="0" applyFont="1" applyFill="1" applyBorder="1"/>
    <xf numFmtId="164" fontId="11" fillId="7" borderId="7" xfId="0" applyNumberFormat="1" applyFont="1" applyFill="1" applyBorder="1"/>
    <xf numFmtId="2" fontId="13" fillId="5" borderId="0" xfId="0" applyNumberFormat="1" applyFont="1" applyFill="1" applyAlignment="1">
      <alignment horizontal="right"/>
    </xf>
    <xf numFmtId="0" fontId="36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1" fillId="0" borderId="0" xfId="0" applyNumberFormat="1" applyFont="1"/>
    <xf numFmtId="166" fontId="0" fillId="0" borderId="0" xfId="0" quotePrefix="1" applyNumberFormat="1" applyAlignment="1">
      <alignment horizontal="left"/>
    </xf>
    <xf numFmtId="166" fontId="28" fillId="0" borderId="0" xfId="0" applyNumberFormat="1" applyFont="1" applyAlignment="1">
      <alignment horizontal="left"/>
    </xf>
    <xf numFmtId="0" fontId="13" fillId="6" borderId="0" xfId="4" applyFont="1" applyFill="1" applyAlignment="1">
      <alignment horizontal="left"/>
    </xf>
    <xf numFmtId="0" fontId="3" fillId="5" borderId="29" xfId="0" applyFont="1" applyFill="1" applyBorder="1"/>
    <xf numFmtId="2" fontId="31" fillId="5" borderId="0" xfId="0" applyNumberFormat="1" applyFont="1" applyFill="1" applyAlignment="1">
      <alignment horizontal="right"/>
    </xf>
    <xf numFmtId="166" fontId="3" fillId="3" borderId="25" xfId="1" applyNumberFormat="1" applyFill="1" applyBorder="1" applyAlignment="1">
      <alignment horizontal="center" vertical="center" wrapText="1"/>
    </xf>
    <xf numFmtId="0" fontId="3" fillId="5" borderId="28" xfId="0" applyFont="1" applyFill="1" applyBorder="1"/>
    <xf numFmtId="2" fontId="30" fillId="5" borderId="5" xfId="0" applyNumberFormat="1" applyFont="1" applyFill="1" applyBorder="1" applyAlignment="1">
      <alignment horizontal="right"/>
    </xf>
    <xf numFmtId="2" fontId="31" fillId="5" borderId="5" xfId="0" applyNumberFormat="1" applyFont="1" applyFill="1" applyBorder="1" applyAlignment="1">
      <alignment horizontal="right"/>
    </xf>
    <xf numFmtId="0" fontId="13" fillId="5" borderId="5" xfId="4" applyFont="1" applyFill="1" applyBorder="1" applyAlignment="1">
      <alignment horizontal="left"/>
    </xf>
    <xf numFmtId="166" fontId="11" fillId="0" borderId="6" xfId="0" applyNumberFormat="1" applyFont="1" applyBorder="1"/>
    <xf numFmtId="166" fontId="3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37" fillId="5" borderId="0" xfId="0" applyNumberFormat="1" applyFont="1" applyFill="1"/>
    <xf numFmtId="164" fontId="33" fillId="7" borderId="0" xfId="0" applyNumberFormat="1" applyFont="1" applyFill="1"/>
    <xf numFmtId="2" fontId="3" fillId="7" borderId="0" xfId="0" applyNumberFormat="1" applyFont="1" applyFill="1"/>
    <xf numFmtId="166" fontId="3" fillId="7" borderId="5" xfId="0" applyNumberFormat="1" applyFont="1" applyFill="1" applyBorder="1"/>
    <xf numFmtId="164" fontId="3" fillId="7" borderId="0" xfId="0" applyNumberFormat="1" applyFont="1" applyFill="1" applyAlignment="1">
      <alignment horizontal="left"/>
    </xf>
    <xf numFmtId="0" fontId="28" fillId="8" borderId="0" xfId="0" applyFont="1" applyFill="1"/>
    <xf numFmtId="164" fontId="28" fillId="8" borderId="0" xfId="0" applyNumberFormat="1" applyFont="1" applyFill="1"/>
    <xf numFmtId="0" fontId="28" fillId="7" borderId="0" xfId="0" applyFont="1" applyFill="1"/>
    <xf numFmtId="164" fontId="28" fillId="7" borderId="0" xfId="0" applyNumberFormat="1" applyFont="1" applyFill="1"/>
    <xf numFmtId="0" fontId="3" fillId="5" borderId="4" xfId="0" applyFont="1" applyFill="1" applyBorder="1"/>
    <xf numFmtId="0" fontId="13" fillId="5" borderId="4" xfId="4" applyFont="1" applyFill="1" applyBorder="1" applyAlignment="1">
      <alignment horizontal="left"/>
    </xf>
    <xf numFmtId="2" fontId="13" fillId="5" borderId="4" xfId="0" applyNumberFormat="1" applyFont="1" applyFill="1" applyBorder="1" applyAlignment="1">
      <alignment horizontal="right"/>
    </xf>
    <xf numFmtId="2" fontId="31" fillId="5" borderId="4" xfId="0" applyNumberFormat="1" applyFont="1" applyFill="1" applyBorder="1" applyAlignment="1">
      <alignment horizontal="right"/>
    </xf>
    <xf numFmtId="0" fontId="28" fillId="5" borderId="0" xfId="0" applyFont="1" applyFill="1"/>
    <xf numFmtId="164" fontId="28" fillId="5" borderId="0" xfId="0" applyNumberFormat="1" applyFont="1" applyFill="1"/>
    <xf numFmtId="166" fontId="16" fillId="11" borderId="0" xfId="0" applyNumberFormat="1" applyFont="1" applyFill="1" applyAlignment="1">
      <alignment horizontal="center" vertical="center"/>
    </xf>
    <xf numFmtId="166" fontId="11" fillId="12" borderId="0" xfId="1" applyNumberFormat="1" applyFont="1" applyFill="1" applyAlignment="1">
      <alignment horizontal="center" vertical="center" wrapText="1"/>
    </xf>
    <xf numFmtId="0" fontId="21" fillId="0" borderId="30" xfId="0" applyFont="1" applyBorder="1" applyAlignment="1">
      <alignment horizontal="center" vertical="center"/>
    </xf>
    <xf numFmtId="0" fontId="0" fillId="0" borderId="17" xfId="0" applyBorder="1"/>
    <xf numFmtId="0" fontId="21" fillId="0" borderId="8" xfId="0" applyFont="1" applyBorder="1" applyAlignment="1">
      <alignment horizontal="center" vertical="center"/>
    </xf>
    <xf numFmtId="0" fontId="0" fillId="0" borderId="18" xfId="0" applyBorder="1"/>
    <xf numFmtId="0" fontId="21" fillId="0" borderId="8" xfId="0" applyFont="1" applyBorder="1" applyAlignment="1">
      <alignment horizontal="center" vertical="center" wrapText="1"/>
    </xf>
    <xf numFmtId="0" fontId="0" fillId="0" borderId="21" xfId="0" applyBorder="1"/>
    <xf numFmtId="0" fontId="21" fillId="0" borderId="30" xfId="0" applyFont="1" applyBorder="1" applyAlignment="1">
      <alignment horizontal="center" vertical="center" wrapText="1"/>
    </xf>
    <xf numFmtId="0" fontId="0" fillId="0" borderId="20" xfId="0" applyBorder="1"/>
    <xf numFmtId="0" fontId="24" fillId="10" borderId="3" xfId="0" applyFont="1" applyFill="1" applyBorder="1" applyAlignment="1">
      <alignment horizontal="center"/>
    </xf>
    <xf numFmtId="0" fontId="0" fillId="0" borderId="3" xfId="0" applyBorder="1"/>
    <xf numFmtId="0" fontId="24" fillId="10" borderId="0" xfId="0" applyFont="1" applyFill="1" applyAlignment="1">
      <alignment horizontal="center"/>
    </xf>
    <xf numFmtId="0" fontId="0" fillId="0" borderId="0" xfId="0"/>
    <xf numFmtId="166" fontId="3" fillId="3" borderId="4" xfId="1" applyNumberFormat="1" applyFill="1" applyBorder="1" applyAlignment="1">
      <alignment horizontal="center" vertical="center" wrapText="1"/>
    </xf>
    <xf numFmtId="0" fontId="0" fillId="0" borderId="4" xfId="0" applyBorder="1"/>
    <xf numFmtId="166" fontId="3" fillId="3" borderId="25" xfId="1" applyNumberFormat="1" applyFill="1" applyBorder="1" applyAlignment="1">
      <alignment horizontal="center" vertical="center" wrapText="1"/>
    </xf>
    <xf numFmtId="0" fontId="0" fillId="0" borderId="25" xfId="0" applyBorder="1"/>
  </cellXfs>
  <cellStyles count="19">
    <cellStyle name="Normal - Style1 2 2 3" xfId="16" xr:uid="{00000000-0005-0000-0000-000010000000}"/>
    <cellStyle name="Normal 10" xfId="1" xr:uid="{00000000-0005-0000-0000-000001000000}"/>
    <cellStyle name="Normal 10 15 2" xfId="18" xr:uid="{00000000-0005-0000-0000-000012000000}"/>
    <cellStyle name="Normal 2" xfId="5" xr:uid="{00000000-0005-0000-0000-000005000000}"/>
    <cellStyle name="Normal 3" xfId="2" xr:uid="{00000000-0005-0000-0000-000002000000}"/>
    <cellStyle name="Normal 39 2 2" xfId="17" xr:uid="{00000000-0005-0000-0000-000011000000}"/>
    <cellStyle name="Normal 4" xfId="3" xr:uid="{00000000-0005-0000-0000-000003000000}"/>
    <cellStyle name="Normal 5" xfId="11" xr:uid="{00000000-0005-0000-0000-00000B000000}"/>
    <cellStyle name="Normal_MIN" xfId="14" xr:uid="{00000000-0005-0000-0000-00000E000000}"/>
    <cellStyle name="Normale" xfId="0" builtinId="0"/>
    <cellStyle name="Normalny 2" xfId="4" xr:uid="{00000000-0005-0000-0000-000004000000}"/>
    <cellStyle name="Normalny 43" xfId="7" xr:uid="{00000000-0005-0000-0000-000007000000}"/>
    <cellStyle name="Normalny 43 2" xfId="12" xr:uid="{00000000-0005-0000-0000-00000C000000}"/>
    <cellStyle name="Normalny_S301-339-05" xfId="9" xr:uid="{00000000-0005-0000-0000-000009000000}"/>
    <cellStyle name="Normalny_T206" xfId="10" xr:uid="{00000000-0005-0000-0000-00000A000000}"/>
    <cellStyle name="Per cent 2" xfId="6" xr:uid="{00000000-0005-0000-0000-000006000000}"/>
    <cellStyle name="Percentuale" xfId="8" builtinId="5"/>
    <cellStyle name="Percentuale 2" xfId="13" xr:uid="{00000000-0005-0000-0000-00000D000000}"/>
    <cellStyle name="Procentowy 2" xfId="15" xr:uid="{00000000-0005-0000-0000-00000F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customHeight="1" x14ac:dyDescent="0.2">
      <c r="B2" s="59" t="s">
        <v>93</v>
      </c>
      <c r="C2" s="59"/>
    </row>
    <row r="4" spans="2:10" x14ac:dyDescent="0.2">
      <c r="B4" s="69"/>
      <c r="C4" s="69"/>
    </row>
    <row r="5" spans="2:10" ht="13.5" customHeight="1" thickBot="1" x14ac:dyDescent="0.25">
      <c r="B5" s="69" t="s">
        <v>94</v>
      </c>
      <c r="C5" s="69"/>
    </row>
    <row r="6" spans="2:10" ht="51" customHeight="1" x14ac:dyDescent="0.2">
      <c r="B6" s="219" t="s">
        <v>95</v>
      </c>
      <c r="C6" s="217" t="s">
        <v>96</v>
      </c>
      <c r="D6" s="72" t="s">
        <v>97</v>
      </c>
      <c r="E6" s="72" t="s">
        <v>98</v>
      </c>
      <c r="F6" s="72" t="s">
        <v>99</v>
      </c>
      <c r="G6" s="72" t="s">
        <v>100</v>
      </c>
      <c r="H6" s="72" t="s">
        <v>101</v>
      </c>
      <c r="I6" s="72" t="s">
        <v>100</v>
      </c>
      <c r="J6" s="73" t="s">
        <v>101</v>
      </c>
    </row>
    <row r="7" spans="2:10" ht="51" customHeight="1" x14ac:dyDescent="0.2">
      <c r="B7" s="220"/>
      <c r="C7" s="218"/>
      <c r="D7" s="20" t="s">
        <v>102</v>
      </c>
      <c r="E7" s="20" t="s">
        <v>103</v>
      </c>
      <c r="F7" s="20" t="s">
        <v>104</v>
      </c>
      <c r="G7" s="20" t="s">
        <v>105</v>
      </c>
      <c r="H7" s="20" t="s">
        <v>106</v>
      </c>
      <c r="I7" s="20" t="s">
        <v>105</v>
      </c>
      <c r="J7" s="20" t="s">
        <v>106</v>
      </c>
    </row>
    <row r="8" spans="2:10" ht="15.75" customHeight="1" x14ac:dyDescent="0.2">
      <c r="B8" s="214"/>
      <c r="C8" s="216"/>
      <c r="D8" s="68" t="s">
        <v>107</v>
      </c>
      <c r="E8" s="68" t="s">
        <v>108</v>
      </c>
      <c r="F8" s="68" t="s">
        <v>109</v>
      </c>
      <c r="G8" s="68" t="s">
        <v>110</v>
      </c>
      <c r="H8" s="68" t="s">
        <v>111</v>
      </c>
      <c r="I8" s="68" t="s">
        <v>112</v>
      </c>
      <c r="J8" s="74" t="s">
        <v>113</v>
      </c>
    </row>
    <row r="9" spans="2:10" x14ac:dyDescent="0.2">
      <c r="B9" s="75" t="s">
        <v>114</v>
      </c>
      <c r="C9" s="108" t="s">
        <v>115</v>
      </c>
      <c r="D9" s="67">
        <v>600</v>
      </c>
      <c r="E9" s="67">
        <v>4500</v>
      </c>
      <c r="F9" s="130">
        <v>0</v>
      </c>
      <c r="G9" s="130">
        <v>1790</v>
      </c>
      <c r="H9" s="130">
        <v>23500</v>
      </c>
      <c r="I9" s="124"/>
      <c r="J9" s="125"/>
    </row>
    <row r="10" spans="2:10" x14ac:dyDescent="0.2">
      <c r="B10" s="75" t="s">
        <v>116</v>
      </c>
      <c r="C10" s="108" t="s">
        <v>117</v>
      </c>
      <c r="D10" s="67">
        <v>550</v>
      </c>
      <c r="E10" s="67">
        <v>4100</v>
      </c>
      <c r="F10" s="130">
        <v>0</v>
      </c>
      <c r="G10" s="130">
        <v>2450</v>
      </c>
      <c r="H10" s="130">
        <v>11000</v>
      </c>
      <c r="I10" s="124"/>
      <c r="J10" s="125"/>
    </row>
    <row r="11" spans="2:10" x14ac:dyDescent="0.2">
      <c r="B11" s="75" t="s">
        <v>118</v>
      </c>
      <c r="C11" s="108" t="s">
        <v>119</v>
      </c>
      <c r="D11" s="67">
        <v>74</v>
      </c>
      <c r="E11" s="67">
        <v>247</v>
      </c>
      <c r="F11" s="130">
        <v>0</v>
      </c>
      <c r="G11" s="124">
        <v>3500</v>
      </c>
      <c r="H11" s="130">
        <v>11000</v>
      </c>
      <c r="I11" s="124"/>
      <c r="J11" s="125"/>
    </row>
    <row r="12" spans="2:10" x14ac:dyDescent="0.2">
      <c r="B12" s="75" t="s">
        <v>120</v>
      </c>
      <c r="C12" s="108" t="s">
        <v>121</v>
      </c>
      <c r="D12" s="67">
        <v>240</v>
      </c>
      <c r="E12" s="67">
        <v>123</v>
      </c>
      <c r="F12" s="130">
        <v>0</v>
      </c>
      <c r="G12" s="130">
        <v>0</v>
      </c>
      <c r="H12" s="124"/>
      <c r="I12" s="124"/>
      <c r="J12" s="125"/>
    </row>
    <row r="13" spans="2:10" x14ac:dyDescent="0.2">
      <c r="B13" s="75" t="s">
        <v>122</v>
      </c>
      <c r="C13" s="108" t="s">
        <v>123</v>
      </c>
      <c r="D13" s="67">
        <v>70</v>
      </c>
      <c r="E13" s="67">
        <v>50</v>
      </c>
      <c r="F13" s="130">
        <v>0</v>
      </c>
      <c r="G13" s="130">
        <v>0</v>
      </c>
      <c r="H13" s="124"/>
      <c r="I13" s="124"/>
      <c r="J13" s="125"/>
    </row>
    <row r="14" spans="2:10" x14ac:dyDescent="0.2">
      <c r="B14" s="75" t="s">
        <v>124</v>
      </c>
      <c r="C14" s="108" t="s">
        <v>125</v>
      </c>
      <c r="D14" s="67">
        <v>1890</v>
      </c>
      <c r="E14" s="67">
        <v>2770</v>
      </c>
      <c r="F14" s="130">
        <v>0</v>
      </c>
      <c r="G14" s="130">
        <v>0</v>
      </c>
      <c r="H14" s="124"/>
      <c r="I14" s="124"/>
      <c r="J14" s="125"/>
    </row>
    <row r="15" spans="2:10" x14ac:dyDescent="0.2">
      <c r="B15" s="75" t="s">
        <v>126</v>
      </c>
      <c r="C15" s="108" t="s">
        <v>127</v>
      </c>
      <c r="D15" s="67">
        <v>1540</v>
      </c>
      <c r="E15" s="67">
        <v>1910</v>
      </c>
      <c r="F15" s="130">
        <v>0</v>
      </c>
      <c r="G15" s="130">
        <v>0</v>
      </c>
      <c r="H15" s="124"/>
      <c r="I15" s="124"/>
      <c r="J15" s="125"/>
    </row>
    <row r="16" spans="2:10" ht="13.5" customHeight="1" thickBot="1" x14ac:dyDescent="0.25">
      <c r="B16" s="76" t="s">
        <v>128</v>
      </c>
      <c r="C16" s="109" t="s">
        <v>129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130</v>
      </c>
      <c r="C17" s="71"/>
    </row>
    <row r="18" spans="2:16" x14ac:dyDescent="0.2">
      <c r="B18" s="71" t="s">
        <v>131</v>
      </c>
      <c r="C18" s="71"/>
    </row>
    <row r="19" spans="2:16" x14ac:dyDescent="0.2">
      <c r="B19" s="113" t="s">
        <v>132</v>
      </c>
      <c r="C19" s="71"/>
    </row>
    <row r="20" spans="2:16" x14ac:dyDescent="0.2">
      <c r="B20" s="71" t="s">
        <v>133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customHeight="1" x14ac:dyDescent="0.2">
      <c r="B23" s="59" t="s">
        <v>134</v>
      </c>
      <c r="C23" s="59"/>
      <c r="D23" s="69"/>
      <c r="E23" s="69"/>
      <c r="F23" s="69"/>
    </row>
    <row r="25" spans="2:16" x14ac:dyDescent="0.2">
      <c r="B25" s="69" t="s">
        <v>135</v>
      </c>
      <c r="C25" s="69"/>
      <c r="D25" s="69"/>
      <c r="E25" s="69"/>
      <c r="F25" s="69"/>
    </row>
    <row r="26" spans="2:16" ht="13.5" customHeight="1" thickBot="1" x14ac:dyDescent="0.25">
      <c r="B26" s="69" t="s">
        <v>136</v>
      </c>
      <c r="C26" s="69"/>
      <c r="D26" s="69"/>
      <c r="E26" s="69"/>
      <c r="F26" s="69"/>
    </row>
    <row r="27" spans="2:16" ht="31.7" customHeight="1" x14ac:dyDescent="0.2">
      <c r="B27" s="213" t="s">
        <v>137</v>
      </c>
      <c r="C27" s="215" t="s">
        <v>138</v>
      </c>
      <c r="D27" s="72" t="s">
        <v>139</v>
      </c>
      <c r="E27" s="80" t="s">
        <v>140</v>
      </c>
      <c r="F27" s="69"/>
    </row>
    <row r="28" spans="2:16" ht="31.7" customHeight="1" x14ac:dyDescent="0.2">
      <c r="B28" s="214"/>
      <c r="C28" s="216"/>
      <c r="D28" s="20" t="s">
        <v>141</v>
      </c>
      <c r="E28" s="112" t="s">
        <v>23</v>
      </c>
      <c r="F28" s="69"/>
    </row>
    <row r="29" spans="2:16" x14ac:dyDescent="0.2">
      <c r="B29" s="81" t="s">
        <v>142</v>
      </c>
      <c r="C29" s="110" t="s">
        <v>143</v>
      </c>
      <c r="D29" s="68" t="s">
        <v>144</v>
      </c>
      <c r="E29" s="144">
        <v>0.98499999999999999</v>
      </c>
      <c r="F29" s="69"/>
      <c r="G29" s="2"/>
    </row>
    <row r="30" spans="2:16" x14ac:dyDescent="0.2">
      <c r="B30" s="81" t="s">
        <v>142</v>
      </c>
      <c r="C30" s="110" t="s">
        <v>143</v>
      </c>
      <c r="D30" s="68" t="s">
        <v>145</v>
      </c>
      <c r="E30" s="144">
        <v>0.95299999999999996</v>
      </c>
      <c r="F30" s="69"/>
      <c r="G30" s="2"/>
    </row>
    <row r="31" spans="2:16" x14ac:dyDescent="0.2">
      <c r="B31" s="81" t="s">
        <v>142</v>
      </c>
      <c r="C31" s="110" t="s">
        <v>143</v>
      </c>
      <c r="D31" s="68" t="s">
        <v>146</v>
      </c>
      <c r="E31" s="144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customHeight="1" x14ac:dyDescent="0.2">
      <c r="B37" s="59" t="s">
        <v>147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148</v>
      </c>
      <c r="C39" s="69"/>
      <c r="D39" s="69"/>
      <c r="E39" s="70"/>
      <c r="F39" s="69"/>
    </row>
    <row r="40" spans="2:6" ht="13.5" customHeight="1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13" t="s">
        <v>149</v>
      </c>
      <c r="C41" s="215" t="s">
        <v>138</v>
      </c>
      <c r="D41" s="83" t="s">
        <v>150</v>
      </c>
      <c r="E41" s="73" t="s">
        <v>151</v>
      </c>
      <c r="F41" s="69"/>
    </row>
    <row r="42" spans="2:6" ht="24.75" customHeight="1" x14ac:dyDescent="0.2">
      <c r="B42" s="214"/>
      <c r="C42" s="216"/>
      <c r="D42" s="21" t="s">
        <v>47</v>
      </c>
      <c r="E42" s="111" t="s">
        <v>152</v>
      </c>
      <c r="F42" s="69"/>
    </row>
    <row r="43" spans="2:6" x14ac:dyDescent="0.2">
      <c r="B43" s="81" t="s">
        <v>142</v>
      </c>
      <c r="C43" s="110" t="s">
        <v>143</v>
      </c>
      <c r="D43" s="68" t="s">
        <v>153</v>
      </c>
      <c r="E43" s="82">
        <f>SUM(E9:E15)*E29/1000</f>
        <v>13.4945</v>
      </c>
      <c r="F43" s="69"/>
    </row>
    <row r="44" spans="2:6" x14ac:dyDescent="0.2">
      <c r="B44" s="71" t="s">
        <v>154</v>
      </c>
      <c r="C44" s="69"/>
      <c r="D44" s="69"/>
      <c r="E44" s="69"/>
      <c r="F44" s="69"/>
    </row>
    <row r="45" spans="2:6" x14ac:dyDescent="0.2">
      <c r="B45" s="113" t="s">
        <v>155</v>
      </c>
      <c r="C45" s="69"/>
      <c r="D45" s="69"/>
      <c r="E45" s="69"/>
      <c r="F45" s="69"/>
    </row>
    <row r="46" spans="2:6" x14ac:dyDescent="0.2">
      <c r="B46" s="113" t="s">
        <v>156</v>
      </c>
    </row>
    <row r="48" spans="2:6" x14ac:dyDescent="0.2">
      <c r="B48" s="69"/>
      <c r="C48" s="69"/>
    </row>
  </sheetData>
  <mergeCells count="6">
    <mergeCell ref="B27:B28"/>
    <mergeCell ref="C41:C42"/>
    <mergeCell ref="C27:C28"/>
    <mergeCell ref="B41:B42"/>
    <mergeCell ref="C6:C8"/>
    <mergeCell ref="B6:B8"/>
  </mergeCells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2:I52"/>
  <sheetViews>
    <sheetView zoomScaleNormal="100" workbookViewId="0">
      <selection activeCell="M21" sqref="M21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customHeight="1" x14ac:dyDescent="0.25">
      <c r="B2" s="100" t="s">
        <v>157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158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44</v>
      </c>
      <c r="C5" s="106" t="s">
        <v>45</v>
      </c>
      <c r="D5" s="106" t="s">
        <v>46</v>
      </c>
      <c r="E5" s="106" t="s">
        <v>47</v>
      </c>
      <c r="F5" s="172" t="s">
        <v>48</v>
      </c>
      <c r="G5" s="106" t="s">
        <v>49</v>
      </c>
      <c r="H5" s="106" t="s">
        <v>50</v>
      </c>
      <c r="I5" s="106" t="s">
        <v>51</v>
      </c>
    </row>
    <row r="6" spans="2:9" ht="39.75" customHeight="1" thickBot="1" x14ac:dyDescent="0.25">
      <c r="B6" s="19" t="s">
        <v>52</v>
      </c>
      <c r="C6" s="19" t="s">
        <v>53</v>
      </c>
      <c r="D6" s="19" t="s">
        <v>54</v>
      </c>
      <c r="E6" s="19" t="s">
        <v>47</v>
      </c>
      <c r="F6" s="19" t="s">
        <v>55</v>
      </c>
      <c r="G6" s="19" t="s">
        <v>56</v>
      </c>
      <c r="H6" s="19" t="s">
        <v>57</v>
      </c>
      <c r="I6" s="19" t="s">
        <v>58</v>
      </c>
    </row>
    <row r="7" spans="2:9" ht="18.75" customHeight="1" x14ac:dyDescent="0.2">
      <c r="B7" s="119" t="s">
        <v>59</v>
      </c>
      <c r="C7" s="119" t="s">
        <v>159</v>
      </c>
      <c r="D7" s="119" t="s">
        <v>160</v>
      </c>
      <c r="E7" s="119" t="s">
        <v>62</v>
      </c>
      <c r="F7" s="119"/>
      <c r="G7" s="119" t="s">
        <v>161</v>
      </c>
      <c r="H7" s="119" t="s">
        <v>162</v>
      </c>
      <c r="I7" s="119" t="s">
        <v>163</v>
      </c>
    </row>
    <row r="8" spans="2:9" ht="18.75" customHeight="1" x14ac:dyDescent="0.2">
      <c r="B8" s="126" t="s">
        <v>59</v>
      </c>
      <c r="C8" s="126" t="s">
        <v>164</v>
      </c>
      <c r="D8" s="126" t="s">
        <v>165</v>
      </c>
      <c r="E8" s="126" t="s">
        <v>62</v>
      </c>
      <c r="F8" s="126"/>
      <c r="G8" s="126" t="s">
        <v>161</v>
      </c>
      <c r="H8" s="126" t="s">
        <v>162</v>
      </c>
      <c r="I8" s="126" t="s">
        <v>163</v>
      </c>
    </row>
    <row r="9" spans="2:9" ht="18.75" customHeight="1" x14ac:dyDescent="0.2">
      <c r="B9" s="128" t="s">
        <v>59</v>
      </c>
      <c r="C9" s="128" t="s">
        <v>166</v>
      </c>
      <c r="D9" s="128" t="s">
        <v>167</v>
      </c>
      <c r="E9" s="128" t="s">
        <v>62</v>
      </c>
      <c r="F9" s="128"/>
      <c r="G9" s="128" t="s">
        <v>161</v>
      </c>
      <c r="H9" s="128"/>
      <c r="I9" s="128" t="s">
        <v>163</v>
      </c>
    </row>
    <row r="10" spans="2:9" ht="18.75" customHeight="1" x14ac:dyDescent="0.2">
      <c r="B10" s="126" t="s">
        <v>59</v>
      </c>
      <c r="C10" s="126" t="s">
        <v>41</v>
      </c>
      <c r="D10" s="126" t="s">
        <v>168</v>
      </c>
      <c r="E10" s="126" t="s">
        <v>62</v>
      </c>
      <c r="F10" s="126"/>
      <c r="G10" s="126" t="s">
        <v>161</v>
      </c>
      <c r="H10" s="126"/>
      <c r="I10" s="126" t="s">
        <v>163</v>
      </c>
    </row>
    <row r="11" spans="2:9" ht="18.75" customHeight="1" x14ac:dyDescent="0.2">
      <c r="B11" s="128" t="s">
        <v>59</v>
      </c>
      <c r="C11" s="128" t="s">
        <v>42</v>
      </c>
      <c r="D11" s="128" t="s">
        <v>169</v>
      </c>
      <c r="E11" s="128" t="s">
        <v>62</v>
      </c>
      <c r="F11" s="128"/>
      <c r="G11" s="128" t="s">
        <v>161</v>
      </c>
      <c r="H11" s="128"/>
      <c r="I11" s="128" t="s">
        <v>163</v>
      </c>
    </row>
    <row r="12" spans="2:9" ht="18.75" customHeight="1" x14ac:dyDescent="0.2">
      <c r="B12" s="126" t="s">
        <v>59</v>
      </c>
      <c r="C12" s="126" t="s">
        <v>170</v>
      </c>
      <c r="D12" s="126" t="s">
        <v>171</v>
      </c>
      <c r="E12" s="126" t="s">
        <v>62</v>
      </c>
      <c r="F12" s="126"/>
      <c r="G12" s="126" t="s">
        <v>161</v>
      </c>
      <c r="H12" s="126"/>
      <c r="I12" s="126" t="s">
        <v>163</v>
      </c>
    </row>
    <row r="13" spans="2:9" ht="18.75" customHeight="1" x14ac:dyDescent="0.2">
      <c r="B13" s="183" t="s">
        <v>172</v>
      </c>
      <c r="C13" s="183" t="s">
        <v>173</v>
      </c>
      <c r="D13" s="183" t="s">
        <v>174</v>
      </c>
      <c r="E13" s="183" t="s">
        <v>110</v>
      </c>
      <c r="F13" s="183"/>
      <c r="G13" s="183"/>
      <c r="H13" s="183" t="s">
        <v>162</v>
      </c>
      <c r="I13" s="183"/>
    </row>
    <row r="14" spans="2:9" ht="18.75" customHeight="1" x14ac:dyDescent="0.2">
      <c r="B14" s="126" t="s">
        <v>175</v>
      </c>
      <c r="C14" s="126"/>
      <c r="D14" s="126"/>
      <c r="E14" s="126"/>
      <c r="F14" s="126"/>
      <c r="G14" s="126"/>
      <c r="H14" s="126"/>
      <c r="I14" s="126"/>
    </row>
    <row r="15" spans="2:9" x14ac:dyDescent="0.2">
      <c r="I15" s="45"/>
    </row>
    <row r="17" spans="2:9" ht="18" customHeight="1" x14ac:dyDescent="0.25">
      <c r="B17" s="100" t="s">
        <v>176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43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44</v>
      </c>
      <c r="C20" s="106" t="s">
        <v>45</v>
      </c>
      <c r="D20" s="106" t="s">
        <v>46</v>
      </c>
      <c r="E20" s="106" t="s">
        <v>47</v>
      </c>
      <c r="F20" s="106" t="s">
        <v>48</v>
      </c>
      <c r="G20" s="106" t="s">
        <v>49</v>
      </c>
      <c r="H20" s="106" t="s">
        <v>50</v>
      </c>
      <c r="I20" s="106" t="s">
        <v>51</v>
      </c>
    </row>
    <row r="21" spans="2:9" ht="38.25" customHeight="1" x14ac:dyDescent="0.2">
      <c r="B21" s="19" t="s">
        <v>52</v>
      </c>
      <c r="C21" s="19" t="s">
        <v>53</v>
      </c>
      <c r="D21" s="19" t="s">
        <v>54</v>
      </c>
      <c r="E21" s="19" t="s">
        <v>47</v>
      </c>
      <c r="F21" s="19" t="s">
        <v>55</v>
      </c>
      <c r="G21" s="19" t="s">
        <v>56</v>
      </c>
      <c r="H21" s="19" t="s">
        <v>57</v>
      </c>
      <c r="I21" s="19" t="s">
        <v>58</v>
      </c>
    </row>
    <row r="22" spans="2:9" x14ac:dyDescent="0.2">
      <c r="B22" s="66" t="s">
        <v>59</v>
      </c>
      <c r="C22" s="116" t="s">
        <v>60</v>
      </c>
      <c r="D22" s="66" t="s">
        <v>61</v>
      </c>
      <c r="E22" s="117" t="s">
        <v>62</v>
      </c>
      <c r="F22" s="65"/>
      <c r="G22" s="65"/>
      <c r="H22" s="65"/>
      <c r="I22" s="65"/>
    </row>
    <row r="23" spans="2:9" x14ac:dyDescent="0.2">
      <c r="B23" s="49" t="s">
        <v>59</v>
      </c>
      <c r="C23" s="114" t="s">
        <v>63</v>
      </c>
      <c r="D23" s="49" t="s">
        <v>64</v>
      </c>
      <c r="E23" s="115" t="s">
        <v>62</v>
      </c>
      <c r="F23" s="48"/>
      <c r="G23" s="48"/>
      <c r="H23" s="48"/>
      <c r="I23" s="48"/>
    </row>
    <row r="24" spans="2:9" x14ac:dyDescent="0.2">
      <c r="B24" s="66" t="s">
        <v>59</v>
      </c>
      <c r="C24" s="116" t="s">
        <v>65</v>
      </c>
      <c r="D24" s="66" t="s">
        <v>66</v>
      </c>
      <c r="E24" s="117" t="s">
        <v>62</v>
      </c>
      <c r="F24" s="65"/>
      <c r="G24" s="65"/>
      <c r="H24" s="65"/>
      <c r="I24" s="65"/>
    </row>
    <row r="25" spans="2:9" x14ac:dyDescent="0.2">
      <c r="B25" s="181" t="s">
        <v>59</v>
      </c>
      <c r="C25" s="42" t="s">
        <v>67</v>
      </c>
      <c r="D25" s="181" t="s">
        <v>68</v>
      </c>
      <c r="E25" s="182" t="s">
        <v>62</v>
      </c>
      <c r="F25" s="44"/>
      <c r="G25" s="44"/>
      <c r="H25" s="44"/>
      <c r="I25" s="44"/>
    </row>
    <row r="26" spans="2:9" x14ac:dyDescent="0.2">
      <c r="B26" s="66" t="s">
        <v>59</v>
      </c>
      <c r="C26" s="116" t="s">
        <v>69</v>
      </c>
      <c r="D26" s="66" t="s">
        <v>70</v>
      </c>
      <c r="E26" s="117" t="s">
        <v>62</v>
      </c>
      <c r="F26" s="65"/>
      <c r="G26" s="65"/>
      <c r="H26" s="65"/>
      <c r="I26" s="65"/>
    </row>
    <row r="27" spans="2:9" x14ac:dyDescent="0.2">
      <c r="B27" s="181" t="s">
        <v>59</v>
      </c>
      <c r="C27" s="42" t="s">
        <v>71</v>
      </c>
      <c r="D27" s="181" t="s">
        <v>72</v>
      </c>
      <c r="E27" s="182" t="s">
        <v>62</v>
      </c>
      <c r="F27" s="44"/>
      <c r="G27" s="44"/>
      <c r="H27" s="44"/>
      <c r="I27" s="44"/>
    </row>
    <row r="28" spans="2:9" x14ac:dyDescent="0.2">
      <c r="B28" s="66" t="s">
        <v>59</v>
      </c>
      <c r="C28" s="116" t="s">
        <v>73</v>
      </c>
      <c r="D28" s="116" t="s">
        <v>73</v>
      </c>
      <c r="E28" s="117" t="s">
        <v>62</v>
      </c>
      <c r="F28" s="65"/>
      <c r="G28" s="65"/>
      <c r="H28" s="65"/>
      <c r="I28" s="65"/>
    </row>
    <row r="29" spans="2:9" x14ac:dyDescent="0.2">
      <c r="B29" s="181" t="s">
        <v>59</v>
      </c>
      <c r="C29" s="42" t="s">
        <v>74</v>
      </c>
      <c r="D29" s="42" t="s">
        <v>75</v>
      </c>
      <c r="E29" s="182" t="s">
        <v>62</v>
      </c>
      <c r="F29" s="44"/>
      <c r="G29" s="44"/>
      <c r="H29" s="44"/>
      <c r="I29" s="44"/>
    </row>
    <row r="30" spans="2:9" x14ac:dyDescent="0.2">
      <c r="B30" s="66" t="s">
        <v>59</v>
      </c>
      <c r="C30" s="116" t="s">
        <v>76</v>
      </c>
      <c r="D30" s="116" t="s">
        <v>76</v>
      </c>
      <c r="E30" s="117" t="s">
        <v>62</v>
      </c>
      <c r="F30" s="65"/>
      <c r="G30" s="65"/>
      <c r="H30" s="65"/>
      <c r="I30" s="65"/>
    </row>
    <row r="31" spans="2:9" x14ac:dyDescent="0.2">
      <c r="B31" s="181" t="s">
        <v>59</v>
      </c>
      <c r="C31" s="42" t="s">
        <v>77</v>
      </c>
      <c r="D31" s="42" t="s">
        <v>77</v>
      </c>
      <c r="E31" s="182" t="s">
        <v>62</v>
      </c>
      <c r="F31" s="44"/>
      <c r="G31" s="44"/>
      <c r="H31" s="44"/>
      <c r="I31" s="44"/>
    </row>
    <row r="32" spans="2:9" x14ac:dyDescent="0.2">
      <c r="B32" s="66" t="s">
        <v>59</v>
      </c>
      <c r="C32" s="116" t="s">
        <v>78</v>
      </c>
      <c r="D32" s="116" t="s">
        <v>79</v>
      </c>
      <c r="E32" s="117" t="s">
        <v>62</v>
      </c>
      <c r="F32" s="65"/>
      <c r="G32" s="65"/>
      <c r="H32" s="65"/>
      <c r="I32" s="65"/>
    </row>
    <row r="33" spans="2:9" x14ac:dyDescent="0.2">
      <c r="B33" s="181" t="s">
        <v>59</v>
      </c>
      <c r="C33" s="42" t="s">
        <v>80</v>
      </c>
      <c r="D33" s="181" t="s">
        <v>81</v>
      </c>
      <c r="E33" s="182" t="s">
        <v>62</v>
      </c>
      <c r="F33" s="44"/>
      <c r="G33" s="44"/>
      <c r="H33" s="44"/>
      <c r="I33" s="44"/>
    </row>
    <row r="34" spans="2:9" x14ac:dyDescent="0.2">
      <c r="B34" s="66" t="s">
        <v>59</v>
      </c>
      <c r="C34" s="116" t="s">
        <v>31</v>
      </c>
      <c r="D34" s="66" t="s">
        <v>82</v>
      </c>
      <c r="E34" s="117" t="s">
        <v>62</v>
      </c>
      <c r="F34" s="65"/>
      <c r="G34" s="65"/>
      <c r="H34" s="65"/>
      <c r="I34" s="65"/>
    </row>
    <row r="35" spans="2:9" x14ac:dyDescent="0.2">
      <c r="B35" s="181" t="s">
        <v>59</v>
      </c>
      <c r="C35" s="42" t="s">
        <v>33</v>
      </c>
      <c r="D35" s="181" t="s">
        <v>83</v>
      </c>
      <c r="E35" s="182" t="s">
        <v>62</v>
      </c>
      <c r="F35" s="44"/>
      <c r="G35" s="44"/>
      <c r="H35" s="44"/>
      <c r="I35" s="44"/>
    </row>
    <row r="36" spans="2:9" x14ac:dyDescent="0.2">
      <c r="B36" s="66" t="s">
        <v>59</v>
      </c>
      <c r="C36" s="116" t="s">
        <v>35</v>
      </c>
      <c r="D36" s="66" t="s">
        <v>84</v>
      </c>
      <c r="E36" s="117" t="s">
        <v>62</v>
      </c>
      <c r="F36" s="65"/>
      <c r="G36" s="65"/>
      <c r="H36" s="65"/>
      <c r="I36" s="65"/>
    </row>
    <row r="37" spans="2:9" x14ac:dyDescent="0.2">
      <c r="B37" s="49" t="s">
        <v>59</v>
      </c>
      <c r="C37" s="114" t="s">
        <v>36</v>
      </c>
      <c r="D37" s="49" t="s">
        <v>85</v>
      </c>
      <c r="E37" s="115" t="s">
        <v>62</v>
      </c>
      <c r="F37" s="48"/>
      <c r="G37" s="48"/>
      <c r="H37" s="48"/>
      <c r="I37" s="48"/>
    </row>
    <row r="38" spans="2:9" x14ac:dyDescent="0.2">
      <c r="B38" s="66" t="s">
        <v>59</v>
      </c>
      <c r="C38" s="116" t="s">
        <v>39</v>
      </c>
      <c r="D38" s="66" t="s">
        <v>86</v>
      </c>
      <c r="E38" s="86" t="s">
        <v>62</v>
      </c>
      <c r="F38" s="65"/>
      <c r="G38" s="65"/>
      <c r="H38" s="65"/>
      <c r="I38" s="65"/>
    </row>
    <row r="39" spans="2:9" x14ac:dyDescent="0.2">
      <c r="B39" s="49" t="s">
        <v>59</v>
      </c>
      <c r="C39" s="114" t="s">
        <v>87</v>
      </c>
      <c r="D39" s="49" t="s">
        <v>87</v>
      </c>
      <c r="E39" s="123" t="s">
        <v>62</v>
      </c>
      <c r="F39" s="48"/>
      <c r="G39" s="48"/>
      <c r="H39" s="48"/>
      <c r="I39" s="48"/>
    </row>
    <row r="40" spans="2:9" x14ac:dyDescent="0.2">
      <c r="B40" s="66" t="s">
        <v>59</v>
      </c>
      <c r="C40" s="116" t="s">
        <v>40</v>
      </c>
      <c r="D40" s="66" t="s">
        <v>88</v>
      </c>
      <c r="E40" s="86" t="s">
        <v>62</v>
      </c>
      <c r="F40" s="65"/>
      <c r="G40" s="65"/>
      <c r="H40" s="65"/>
      <c r="I40" s="65"/>
    </row>
    <row r="41" spans="2:9" x14ac:dyDescent="0.2">
      <c r="B41" s="49" t="s">
        <v>59</v>
      </c>
      <c r="C41" s="114" t="s">
        <v>89</v>
      </c>
      <c r="D41" s="49" t="s">
        <v>90</v>
      </c>
      <c r="E41" s="123" t="s">
        <v>62</v>
      </c>
      <c r="F41" s="48"/>
      <c r="G41" s="48"/>
      <c r="H41" s="48"/>
      <c r="I41" s="48"/>
    </row>
    <row r="42" spans="2:9" x14ac:dyDescent="0.2">
      <c r="B42" s="66" t="s">
        <v>59</v>
      </c>
      <c r="C42" s="116" t="s">
        <v>91</v>
      </c>
      <c r="D42" s="66" t="s">
        <v>92</v>
      </c>
      <c r="E42" s="86" t="s">
        <v>62</v>
      </c>
      <c r="F42" s="65"/>
      <c r="G42" s="65"/>
      <c r="H42" s="65"/>
      <c r="I42" s="65"/>
    </row>
    <row r="43" spans="2:9" ht="13.5" customHeight="1" thickBot="1" x14ac:dyDescent="0.25">
      <c r="B43" s="192" t="s">
        <v>59</v>
      </c>
      <c r="C43" s="193" t="s">
        <v>38</v>
      </c>
      <c r="D43" s="192" t="s">
        <v>38</v>
      </c>
      <c r="E43" s="194" t="s">
        <v>62</v>
      </c>
      <c r="F43" s="195"/>
      <c r="G43" s="195"/>
      <c r="H43" s="195"/>
      <c r="I43" s="195"/>
    </row>
    <row r="47" spans="2:9" ht="13.5" customHeight="1" thickBot="1" x14ac:dyDescent="0.25">
      <c r="B47" s="221" t="s">
        <v>177</v>
      </c>
      <c r="C47" s="222"/>
    </row>
    <row r="48" spans="2:9" x14ac:dyDescent="0.2">
      <c r="B48" s="99" t="s">
        <v>59</v>
      </c>
      <c r="C48" s="99" t="s">
        <v>178</v>
      </c>
    </row>
    <row r="49" spans="2:3" x14ac:dyDescent="0.2">
      <c r="B49" s="9" t="s">
        <v>172</v>
      </c>
      <c r="C49" s="9" t="s">
        <v>179</v>
      </c>
    </row>
    <row r="50" spans="2:3" x14ac:dyDescent="0.2">
      <c r="B50" s="7" t="s">
        <v>180</v>
      </c>
      <c r="C50" s="7" t="s">
        <v>181</v>
      </c>
    </row>
    <row r="51" spans="2:3" x14ac:dyDescent="0.2">
      <c r="B51" s="9" t="s">
        <v>182</v>
      </c>
      <c r="C51" s="9" t="s">
        <v>183</v>
      </c>
    </row>
    <row r="52" spans="2:3" ht="13.5" customHeight="1" thickBot="1" x14ac:dyDescent="0.25">
      <c r="B52" s="3" t="s">
        <v>184</v>
      </c>
      <c r="C52" s="3" t="s">
        <v>185</v>
      </c>
    </row>
  </sheetData>
  <mergeCells count="1">
    <mergeCell ref="B47:C47"/>
  </mergeCells>
  <pageMargins left="0.75" right="0.75" top="1" bottom="1" header="0.5" footer="0.5"/>
  <pageSetup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A1:J42"/>
  <sheetViews>
    <sheetView zoomScale="88" zoomScaleNormal="100" workbookViewId="0">
      <selection activeCell="F52" sqref="F52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186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187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188</v>
      </c>
      <c r="C5" s="106" t="s">
        <v>189</v>
      </c>
      <c r="D5" s="106" t="s">
        <v>2</v>
      </c>
      <c r="E5" s="106" t="s">
        <v>190</v>
      </c>
      <c r="F5" s="106" t="s">
        <v>191</v>
      </c>
      <c r="G5" s="106" t="s">
        <v>192</v>
      </c>
      <c r="H5" s="106" t="s">
        <v>193</v>
      </c>
      <c r="I5" s="106" t="s">
        <v>194</v>
      </c>
      <c r="J5" s="106" t="s">
        <v>195</v>
      </c>
    </row>
    <row r="6" spans="1:10" ht="30" customHeight="1" thickBot="1" x14ac:dyDescent="0.25">
      <c r="B6" s="19" t="s">
        <v>196</v>
      </c>
      <c r="C6" s="19" t="s">
        <v>197</v>
      </c>
      <c r="D6" s="19" t="s">
        <v>198</v>
      </c>
      <c r="E6" s="19" t="s">
        <v>20</v>
      </c>
      <c r="F6" s="19" t="s">
        <v>199</v>
      </c>
      <c r="G6" s="19" t="s">
        <v>200</v>
      </c>
      <c r="H6" s="19" t="s">
        <v>56</v>
      </c>
      <c r="I6" s="19" t="s">
        <v>201</v>
      </c>
      <c r="J6" s="19" t="s">
        <v>202</v>
      </c>
    </row>
    <row r="7" spans="1:10" ht="18.75" customHeight="1" x14ac:dyDescent="0.2">
      <c r="B7" s="196" t="s">
        <v>175</v>
      </c>
      <c r="C7" s="121" t="s">
        <v>203</v>
      </c>
      <c r="D7" s="121" t="s">
        <v>204</v>
      </c>
      <c r="E7" s="121" t="s">
        <v>205</v>
      </c>
      <c r="F7" s="121" t="s">
        <v>62</v>
      </c>
      <c r="G7" s="121" t="s">
        <v>206</v>
      </c>
      <c r="H7" s="121" t="s">
        <v>162</v>
      </c>
      <c r="I7" s="121"/>
      <c r="J7" s="121"/>
    </row>
    <row r="8" spans="1:10" ht="18.75" customHeight="1" x14ac:dyDescent="0.2">
      <c r="B8" s="66" t="s">
        <v>175</v>
      </c>
      <c r="C8" s="127" t="s">
        <v>203</v>
      </c>
      <c r="D8" s="127" t="s">
        <v>207</v>
      </c>
      <c r="E8" s="127" t="s">
        <v>208</v>
      </c>
      <c r="F8" s="127" t="s">
        <v>62</v>
      </c>
      <c r="G8" s="127" t="s">
        <v>206</v>
      </c>
      <c r="H8" s="127" t="s">
        <v>162</v>
      </c>
      <c r="I8" s="127"/>
      <c r="J8" s="127"/>
    </row>
    <row r="9" spans="1:10" ht="18.75" customHeight="1" x14ac:dyDescent="0.2">
      <c r="B9" s="49" t="s">
        <v>175</v>
      </c>
      <c r="C9" s="129" t="s">
        <v>203</v>
      </c>
      <c r="D9" s="129" t="s">
        <v>209</v>
      </c>
      <c r="E9" s="128" t="s">
        <v>210</v>
      </c>
      <c r="F9" s="129" t="s">
        <v>62</v>
      </c>
      <c r="G9" s="129" t="s">
        <v>206</v>
      </c>
      <c r="H9" s="129" t="s">
        <v>162</v>
      </c>
      <c r="I9" s="129"/>
      <c r="J9" s="129"/>
    </row>
    <row r="10" spans="1:10" ht="18.75" customHeight="1" x14ac:dyDescent="0.2">
      <c r="B10" s="66" t="s">
        <v>175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0" t="s">
        <v>211</v>
      </c>
      <c r="C11" s="122" t="s">
        <v>203</v>
      </c>
      <c r="D11" s="122" t="s">
        <v>212</v>
      </c>
      <c r="E11" s="122" t="s">
        <v>213</v>
      </c>
      <c r="F11" s="122" t="s">
        <v>62</v>
      </c>
      <c r="G11" s="122" t="s">
        <v>206</v>
      </c>
      <c r="H11" s="122" t="s">
        <v>161</v>
      </c>
      <c r="I11" s="122"/>
      <c r="J11" s="122"/>
    </row>
    <row r="12" spans="1:10" ht="18.75" customHeight="1" x14ac:dyDescent="0.2">
      <c r="B12" s="126" t="s">
        <v>211</v>
      </c>
      <c r="C12" s="127" t="s">
        <v>203</v>
      </c>
      <c r="D12" s="127" t="s">
        <v>214</v>
      </c>
      <c r="E12" s="127" t="s">
        <v>215</v>
      </c>
      <c r="F12" s="127" t="s">
        <v>62</v>
      </c>
      <c r="G12" s="127" t="s">
        <v>206</v>
      </c>
      <c r="H12" s="127" t="s">
        <v>161</v>
      </c>
      <c r="I12" s="127"/>
      <c r="J12" s="127"/>
    </row>
    <row r="13" spans="1:10" ht="18.75" customHeight="1" x14ac:dyDescent="0.2">
      <c r="B13" s="120" t="s">
        <v>211</v>
      </c>
      <c r="C13" s="122" t="s">
        <v>203</v>
      </c>
      <c r="D13" s="122" t="s">
        <v>216</v>
      </c>
      <c r="E13" s="122" t="s">
        <v>217</v>
      </c>
      <c r="F13" s="122" t="s">
        <v>62</v>
      </c>
      <c r="G13" s="122" t="s">
        <v>206</v>
      </c>
      <c r="H13" s="122" t="s">
        <v>161</v>
      </c>
      <c r="I13" s="122"/>
      <c r="J13" s="122"/>
    </row>
    <row r="14" spans="1:10" ht="18.75" customHeight="1" x14ac:dyDescent="0.2">
      <c r="B14" s="126" t="s">
        <v>211</v>
      </c>
      <c r="C14" s="127" t="s">
        <v>203</v>
      </c>
      <c r="D14" s="127" t="s">
        <v>218</v>
      </c>
      <c r="E14" s="127" t="s">
        <v>219</v>
      </c>
      <c r="F14" s="127" t="s">
        <v>62</v>
      </c>
      <c r="G14" s="127" t="s">
        <v>206</v>
      </c>
      <c r="H14" s="127" t="s">
        <v>161</v>
      </c>
      <c r="I14" s="127"/>
      <c r="J14" s="127"/>
    </row>
    <row r="15" spans="1:10" ht="18.75" customHeight="1" x14ac:dyDescent="0.2">
      <c r="B15" s="120" t="s">
        <v>211</v>
      </c>
      <c r="C15" s="122" t="s">
        <v>203</v>
      </c>
      <c r="D15" s="122" t="s">
        <v>220</v>
      </c>
      <c r="E15" s="122" t="s">
        <v>221</v>
      </c>
      <c r="F15" s="122" t="s">
        <v>62</v>
      </c>
      <c r="G15" s="122" t="s">
        <v>206</v>
      </c>
      <c r="H15" s="122" t="s">
        <v>161</v>
      </c>
      <c r="I15" s="122"/>
      <c r="J15" s="122"/>
    </row>
    <row r="16" spans="1:10" ht="18.75" customHeight="1" x14ac:dyDescent="0.2">
      <c r="B16" s="126" t="s">
        <v>211</v>
      </c>
      <c r="C16" s="127" t="s">
        <v>203</v>
      </c>
      <c r="D16" s="127" t="s">
        <v>222</v>
      </c>
      <c r="E16" s="127" t="s">
        <v>223</v>
      </c>
      <c r="F16" s="127" t="s">
        <v>62</v>
      </c>
      <c r="G16" s="127" t="s">
        <v>206</v>
      </c>
      <c r="H16" s="127" t="s">
        <v>161</v>
      </c>
      <c r="I16" s="127"/>
      <c r="J16" s="127"/>
    </row>
    <row r="17" spans="1:10" ht="18.75" customHeight="1" x14ac:dyDescent="0.2">
      <c r="B17" s="120" t="s">
        <v>211</v>
      </c>
      <c r="C17" s="122" t="s">
        <v>203</v>
      </c>
      <c r="D17" s="122" t="s">
        <v>224</v>
      </c>
      <c r="E17" s="122" t="s">
        <v>225</v>
      </c>
      <c r="F17" s="122" t="s">
        <v>62</v>
      </c>
      <c r="G17" s="122" t="s">
        <v>206</v>
      </c>
      <c r="H17" s="122" t="s">
        <v>161</v>
      </c>
      <c r="I17" s="122"/>
      <c r="J17" s="122"/>
    </row>
    <row r="18" spans="1:10" ht="18.75" customHeight="1" x14ac:dyDescent="0.2">
      <c r="B18" s="126" t="s">
        <v>211</v>
      </c>
      <c r="C18" s="127" t="s">
        <v>203</v>
      </c>
      <c r="D18" s="127" t="s">
        <v>226</v>
      </c>
      <c r="E18" s="127" t="s">
        <v>227</v>
      </c>
      <c r="F18" s="127" t="s">
        <v>62</v>
      </c>
      <c r="G18" s="127" t="s">
        <v>206</v>
      </c>
      <c r="H18" s="127" t="s">
        <v>161</v>
      </c>
      <c r="I18" s="127"/>
      <c r="J18" s="127"/>
    </row>
    <row r="19" spans="1:10" ht="18.75" customHeight="1" x14ac:dyDescent="0.2">
      <c r="B19" s="128" t="s">
        <v>211</v>
      </c>
      <c r="C19" s="129" t="s">
        <v>203</v>
      </c>
      <c r="D19" s="129" t="s">
        <v>228</v>
      </c>
      <c r="E19" s="129" t="s">
        <v>229</v>
      </c>
      <c r="F19" s="129" t="s">
        <v>62</v>
      </c>
      <c r="G19" s="129" t="s">
        <v>206</v>
      </c>
      <c r="H19" s="129" t="s">
        <v>161</v>
      </c>
      <c r="I19" s="129"/>
      <c r="J19" s="129"/>
    </row>
    <row r="20" spans="1:10" ht="18.75" customHeight="1" x14ac:dyDescent="0.2">
      <c r="B20" s="126" t="s">
        <v>253</v>
      </c>
      <c r="C20" s="127" t="s">
        <v>203</v>
      </c>
      <c r="D20" s="127" t="s">
        <v>230</v>
      </c>
      <c r="E20" s="127" t="s">
        <v>231</v>
      </c>
      <c r="F20" s="127" t="s">
        <v>62</v>
      </c>
      <c r="G20" s="127" t="s">
        <v>206</v>
      </c>
      <c r="H20" s="127" t="s">
        <v>161</v>
      </c>
      <c r="I20" s="127"/>
      <c r="J20" s="127"/>
    </row>
    <row r="21" spans="1:10" ht="18.75" customHeight="1" x14ac:dyDescent="0.2">
      <c r="B21" s="128" t="s">
        <v>211</v>
      </c>
      <c r="C21" s="129" t="s">
        <v>203</v>
      </c>
      <c r="D21" s="129" t="s">
        <v>232</v>
      </c>
      <c r="E21" s="129" t="s">
        <v>37</v>
      </c>
      <c r="F21" s="129" t="s">
        <v>62</v>
      </c>
      <c r="G21" s="129" t="s">
        <v>206</v>
      </c>
      <c r="H21" s="129" t="s">
        <v>161</v>
      </c>
      <c r="I21" s="129"/>
      <c r="J21" s="129"/>
    </row>
    <row r="22" spans="1:10" ht="18.75" customHeight="1" x14ac:dyDescent="0.2">
      <c r="B22" s="126" t="s">
        <v>233</v>
      </c>
      <c r="C22" s="127" t="s">
        <v>203</v>
      </c>
      <c r="D22" s="127" t="s">
        <v>234</v>
      </c>
      <c r="E22" s="127" t="s">
        <v>235</v>
      </c>
      <c r="F22" s="127" t="s">
        <v>62</v>
      </c>
      <c r="G22" s="127" t="s">
        <v>206</v>
      </c>
      <c r="H22" s="127" t="s">
        <v>161</v>
      </c>
      <c r="I22" s="127"/>
      <c r="J22" s="127"/>
    </row>
    <row r="23" spans="1:10" ht="18.75" customHeight="1" x14ac:dyDescent="0.2">
      <c r="B23" s="128" t="s">
        <v>236</v>
      </c>
      <c r="C23" s="129" t="s">
        <v>203</v>
      </c>
      <c r="D23" s="129" t="s">
        <v>237</v>
      </c>
      <c r="E23" s="129" t="s">
        <v>238</v>
      </c>
      <c r="F23" s="129" t="s">
        <v>62</v>
      </c>
      <c r="G23" s="129" t="s">
        <v>206</v>
      </c>
      <c r="H23" s="129" t="s">
        <v>161</v>
      </c>
      <c r="I23" s="129"/>
      <c r="J23" s="129"/>
    </row>
    <row r="24" spans="1:10" ht="18.75" customHeight="1" x14ac:dyDescent="0.2">
      <c r="A24" s="62"/>
      <c r="B24" s="126" t="s">
        <v>239</v>
      </c>
      <c r="C24" s="127" t="s">
        <v>203</v>
      </c>
      <c r="D24" s="127" t="s">
        <v>240</v>
      </c>
      <c r="E24" s="127" t="s">
        <v>241</v>
      </c>
      <c r="F24" s="127" t="s">
        <v>62</v>
      </c>
      <c r="G24" s="127" t="s">
        <v>206</v>
      </c>
      <c r="H24" s="127" t="s">
        <v>161</v>
      </c>
      <c r="I24" s="127"/>
      <c r="J24" s="127"/>
    </row>
    <row r="25" spans="1:10" ht="18.75" customHeight="1" x14ac:dyDescent="0.2">
      <c r="A25" s="62"/>
      <c r="B25" s="128" t="s">
        <v>239</v>
      </c>
      <c r="C25" s="129" t="s">
        <v>203</v>
      </c>
      <c r="D25" s="129" t="s">
        <v>242</v>
      </c>
      <c r="E25" s="129" t="s">
        <v>243</v>
      </c>
      <c r="F25" s="129" t="s">
        <v>62</v>
      </c>
      <c r="G25" s="129" t="s">
        <v>206</v>
      </c>
      <c r="H25" s="129" t="s">
        <v>161</v>
      </c>
      <c r="I25" s="129"/>
      <c r="J25" s="129"/>
    </row>
    <row r="26" spans="1:10" ht="18.75" customHeight="1" x14ac:dyDescent="0.2">
      <c r="A26" s="61"/>
      <c r="B26" s="128" t="s">
        <v>239</v>
      </c>
      <c r="C26" s="129" t="s">
        <v>203</v>
      </c>
      <c r="D26" s="129" t="s">
        <v>244</v>
      </c>
      <c r="E26" s="129" t="s">
        <v>245</v>
      </c>
      <c r="F26" s="129" t="s">
        <v>62</v>
      </c>
      <c r="G26" s="129" t="s">
        <v>206</v>
      </c>
      <c r="H26" s="129" t="s">
        <v>161</v>
      </c>
      <c r="I26" s="129"/>
      <c r="J26" s="129"/>
    </row>
    <row r="27" spans="1:10" ht="18.75" customHeight="1" x14ac:dyDescent="0.2">
      <c r="A27" s="61"/>
      <c r="B27" s="128" t="s">
        <v>239</v>
      </c>
      <c r="C27" s="129" t="s">
        <v>203</v>
      </c>
      <c r="D27" s="129" t="s">
        <v>374</v>
      </c>
      <c r="E27" s="129" t="s">
        <v>375</v>
      </c>
      <c r="F27" s="129" t="s">
        <v>62</v>
      </c>
      <c r="G27" s="129" t="s">
        <v>206</v>
      </c>
      <c r="H27" s="129" t="s">
        <v>161</v>
      </c>
      <c r="I27" s="129"/>
      <c r="J27" s="129"/>
    </row>
    <row r="28" spans="1:10" ht="18.75" customHeight="1" x14ac:dyDescent="0.2">
      <c r="A28" s="61"/>
      <c r="B28" s="128" t="s">
        <v>239</v>
      </c>
      <c r="C28" s="129" t="s">
        <v>203</v>
      </c>
      <c r="D28" s="129" t="s">
        <v>376</v>
      </c>
      <c r="E28" s="129" t="s">
        <v>377</v>
      </c>
      <c r="F28" s="129" t="s">
        <v>62</v>
      </c>
      <c r="G28" s="129" t="s">
        <v>206</v>
      </c>
      <c r="H28" s="129" t="s">
        <v>161</v>
      </c>
      <c r="I28" s="129"/>
      <c r="J28" s="129"/>
    </row>
    <row r="29" spans="1:10" ht="18.75" customHeight="1" x14ac:dyDescent="0.2">
      <c r="A29" s="62"/>
      <c r="B29" s="126" t="s">
        <v>239</v>
      </c>
      <c r="C29" s="127" t="s">
        <v>203</v>
      </c>
      <c r="D29" s="127" t="s">
        <v>246</v>
      </c>
      <c r="E29" s="127" t="s">
        <v>247</v>
      </c>
      <c r="F29" s="127" t="s">
        <v>62</v>
      </c>
      <c r="G29" s="127" t="s">
        <v>248</v>
      </c>
      <c r="H29" s="127" t="s">
        <v>162</v>
      </c>
      <c r="I29" s="127"/>
      <c r="J29" s="127"/>
    </row>
    <row r="30" spans="1:10" ht="18.75" customHeight="1" x14ac:dyDescent="0.2">
      <c r="A30" s="62"/>
      <c r="B30" s="128"/>
      <c r="C30" s="129"/>
      <c r="D30" s="129"/>
      <c r="E30" s="129"/>
      <c r="F30" s="129"/>
      <c r="G30" s="129"/>
      <c r="H30" s="129"/>
      <c r="I30" s="129"/>
      <c r="J30" s="129"/>
    </row>
    <row r="31" spans="1:10" ht="18.95" customHeight="1" x14ac:dyDescent="0.2">
      <c r="I31" s="129"/>
      <c r="J31" s="129"/>
    </row>
    <row r="33" spans="2:6" x14ac:dyDescent="0.2">
      <c r="B33" s="223" t="s">
        <v>249</v>
      </c>
      <c r="C33" s="224"/>
      <c r="D33" s="224"/>
    </row>
    <row r="34" spans="2:6" x14ac:dyDescent="0.2">
      <c r="B34" s="7" t="s">
        <v>211</v>
      </c>
      <c r="C34" s="7" t="s">
        <v>250</v>
      </c>
      <c r="D34" s="7"/>
    </row>
    <row r="35" spans="2:6" x14ac:dyDescent="0.2">
      <c r="B35" s="9" t="s">
        <v>251</v>
      </c>
      <c r="C35" s="9" t="s">
        <v>252</v>
      </c>
      <c r="D35" s="9"/>
    </row>
    <row r="36" spans="2:6" x14ac:dyDescent="0.2">
      <c r="B36" s="7" t="s">
        <v>253</v>
      </c>
      <c r="C36" s="7" t="s">
        <v>254</v>
      </c>
      <c r="D36" s="7"/>
    </row>
    <row r="37" spans="2:6" x14ac:dyDescent="0.2">
      <c r="B37" s="9" t="s">
        <v>239</v>
      </c>
      <c r="C37" s="9" t="s">
        <v>255</v>
      </c>
      <c r="D37" s="9"/>
    </row>
    <row r="38" spans="2:6" x14ac:dyDescent="0.2">
      <c r="B38" s="7" t="s">
        <v>256</v>
      </c>
      <c r="C38" s="7" t="s">
        <v>257</v>
      </c>
      <c r="D38" s="7" t="s">
        <v>258</v>
      </c>
      <c r="F38" s="7" t="s">
        <v>259</v>
      </c>
    </row>
    <row r="39" spans="2:6" x14ac:dyDescent="0.2">
      <c r="B39" s="9" t="s">
        <v>233</v>
      </c>
      <c r="C39" s="9" t="s">
        <v>260</v>
      </c>
      <c r="D39" s="9" t="s">
        <v>261</v>
      </c>
    </row>
    <row r="40" spans="2:6" x14ac:dyDescent="0.2">
      <c r="B40" s="7" t="s">
        <v>236</v>
      </c>
      <c r="C40" s="7" t="s">
        <v>262</v>
      </c>
      <c r="D40" s="7" t="s">
        <v>263</v>
      </c>
    </row>
    <row r="41" spans="2:6" x14ac:dyDescent="0.2">
      <c r="B41" s="9" t="s">
        <v>264</v>
      </c>
      <c r="C41" s="9" t="s">
        <v>265</v>
      </c>
      <c r="D41" s="9" t="s">
        <v>261</v>
      </c>
    </row>
    <row r="42" spans="2:6" ht="13.5" customHeight="1" thickBot="1" x14ac:dyDescent="0.25">
      <c r="B42" s="3" t="s">
        <v>266</v>
      </c>
      <c r="C42" s="3" t="s">
        <v>267</v>
      </c>
      <c r="D42" s="3"/>
    </row>
  </sheetData>
  <mergeCells count="1">
    <mergeCell ref="B33:D33"/>
  </mergeCells>
  <pageMargins left="0.75" right="0.75" top="1" bottom="1" header="0.5" footer="0.5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V45"/>
  <sheetViews>
    <sheetView zoomScaleNormal="100" workbookViewId="0">
      <selection activeCell="L29" sqref="L29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customHeight="1" x14ac:dyDescent="0.2">
      <c r="B3" s="18" t="s">
        <v>2</v>
      </c>
      <c r="C3" s="18" t="s">
        <v>268</v>
      </c>
      <c r="D3" s="18" t="s">
        <v>4</v>
      </c>
      <c r="E3" s="18" t="s">
        <v>5</v>
      </c>
      <c r="F3" s="18" t="s">
        <v>269</v>
      </c>
      <c r="G3" s="18" t="s">
        <v>6</v>
      </c>
      <c r="H3" s="18" t="s">
        <v>7</v>
      </c>
      <c r="I3" s="16" t="s">
        <v>270</v>
      </c>
      <c r="J3" s="16" t="s">
        <v>9</v>
      </c>
      <c r="K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8" t="s">
        <v>16</v>
      </c>
      <c r="Q3" s="18" t="s">
        <v>17</v>
      </c>
      <c r="R3" s="18" t="s">
        <v>18</v>
      </c>
    </row>
    <row r="4" spans="2:18" ht="63.75" customHeight="1" x14ac:dyDescent="0.2">
      <c r="B4" s="19" t="s">
        <v>19</v>
      </c>
      <c r="C4" s="19" t="s">
        <v>20</v>
      </c>
      <c r="D4" s="19" t="s">
        <v>21</v>
      </c>
      <c r="E4" s="19" t="s">
        <v>22</v>
      </c>
      <c r="F4" s="19"/>
      <c r="G4" s="19"/>
      <c r="H4" s="19" t="s">
        <v>24</v>
      </c>
      <c r="I4" s="225" t="s">
        <v>271</v>
      </c>
      <c r="J4" s="226"/>
      <c r="K4" s="226"/>
      <c r="L4" s="226"/>
      <c r="M4" s="226"/>
      <c r="N4" s="226"/>
      <c r="O4" s="226"/>
      <c r="P4" s="19"/>
      <c r="Q4" s="19" t="s">
        <v>28</v>
      </c>
      <c r="R4" s="19" t="s">
        <v>29</v>
      </c>
    </row>
    <row r="5" spans="2:18" x14ac:dyDescent="0.2">
      <c r="B5" s="46" t="str">
        <f>SEC_Processes!D29</f>
        <v>REFINARY</v>
      </c>
      <c r="C5" s="46" t="str">
        <f>SEC_Processes!E29</f>
        <v>Refinary</v>
      </c>
      <c r="D5" s="93" t="s">
        <v>63</v>
      </c>
      <c r="E5" s="93"/>
      <c r="F5" s="87"/>
      <c r="G5" s="89">
        <v>0.93</v>
      </c>
      <c r="H5" s="88">
        <v>1</v>
      </c>
      <c r="I5" s="87">
        <v>566</v>
      </c>
      <c r="J5" s="87">
        <f t="shared" ref="J5:O5" si="0">$I$5</f>
        <v>566</v>
      </c>
      <c r="K5" s="87">
        <f t="shared" si="0"/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69">
        <v>7.3</v>
      </c>
      <c r="R5" s="27">
        <v>13.59</v>
      </c>
    </row>
    <row r="6" spans="2:18" ht="13.5" customHeight="1" thickBot="1" x14ac:dyDescent="0.25">
      <c r="B6" s="161"/>
      <c r="C6" s="61"/>
      <c r="D6" s="165"/>
      <c r="E6" s="179" t="s">
        <v>71</v>
      </c>
      <c r="F6" s="163">
        <v>0.04</v>
      </c>
      <c r="G6" s="163"/>
      <c r="H6" s="166"/>
      <c r="I6" s="163"/>
      <c r="J6" s="163"/>
      <c r="K6" s="163"/>
      <c r="L6" s="163"/>
      <c r="M6" s="163"/>
      <c r="N6" s="163"/>
      <c r="O6" s="163"/>
      <c r="P6" s="167"/>
      <c r="Q6" s="168"/>
      <c r="R6" s="168"/>
    </row>
    <row r="7" spans="2:18" x14ac:dyDescent="0.2">
      <c r="B7" s="162"/>
      <c r="C7" s="24"/>
      <c r="D7" s="24"/>
      <c r="E7" s="180" t="s">
        <v>69</v>
      </c>
      <c r="F7" s="164">
        <v>0.23</v>
      </c>
      <c r="G7" s="164"/>
    </row>
    <row r="8" spans="2:18" x14ac:dyDescent="0.2">
      <c r="B8" s="176"/>
      <c r="C8" s="61"/>
      <c r="D8" s="61"/>
      <c r="E8" s="179" t="s">
        <v>74</v>
      </c>
      <c r="F8" s="163">
        <v>0.1</v>
      </c>
      <c r="G8" s="163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62"/>
      <c r="C9" s="24"/>
      <c r="D9" s="24"/>
      <c r="E9" s="180" t="s">
        <v>67</v>
      </c>
      <c r="F9" s="164">
        <v>0.36</v>
      </c>
      <c r="G9" s="164"/>
    </row>
    <row r="10" spans="2:18" x14ac:dyDescent="0.2">
      <c r="B10" s="62"/>
      <c r="C10" s="62"/>
      <c r="D10" s="62"/>
      <c r="E10" s="179" t="s">
        <v>73</v>
      </c>
      <c r="F10" s="163">
        <v>0.06</v>
      </c>
      <c r="G10" s="163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180" t="s">
        <v>76</v>
      </c>
      <c r="F11" s="164">
        <v>3.5000000000000003E-2</v>
      </c>
      <c r="G11" s="164"/>
    </row>
    <row r="12" spans="2:18" x14ac:dyDescent="0.2">
      <c r="B12" s="62"/>
      <c r="C12" s="62"/>
      <c r="D12" s="62"/>
      <c r="E12" s="179" t="s">
        <v>77</v>
      </c>
      <c r="F12" s="163">
        <v>0.05</v>
      </c>
      <c r="G12" s="163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180" t="s">
        <v>78</v>
      </c>
      <c r="F13" s="164">
        <v>0.04</v>
      </c>
      <c r="G13" s="164"/>
    </row>
    <row r="14" spans="2:18" x14ac:dyDescent="0.2">
      <c r="B14" s="62"/>
      <c r="C14" s="62"/>
      <c r="D14" s="62"/>
      <c r="E14" s="200" t="s">
        <v>65</v>
      </c>
      <c r="F14" s="163">
        <v>8.5000000000000006E-2</v>
      </c>
      <c r="G14" s="163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60"/>
      <c r="C15" s="160"/>
      <c r="D15" s="160"/>
      <c r="E15" s="177" t="str">
        <f>SEC_Comm!C13</f>
        <v>CO2</v>
      </c>
      <c r="F15" s="178"/>
      <c r="G15" s="178"/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</row>
    <row r="32" spans="5:5" x14ac:dyDescent="0.2">
      <c r="E32">
        <v>13475000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64"/>
      <c r="M34" s="164"/>
      <c r="P34" t="s">
        <v>272</v>
      </c>
      <c r="Q34" s="24" t="s">
        <v>273</v>
      </c>
    </row>
    <row r="35" spans="5:22" x14ac:dyDescent="0.2">
      <c r="P35" t="s">
        <v>274</v>
      </c>
      <c r="Q35" t="s">
        <v>274</v>
      </c>
      <c r="T35" t="s">
        <v>62</v>
      </c>
    </row>
    <row r="36" spans="5:22" x14ac:dyDescent="0.2">
      <c r="J36">
        <v>1</v>
      </c>
      <c r="K36" t="s">
        <v>275</v>
      </c>
      <c r="L36">
        <v>0.04</v>
      </c>
      <c r="M36" t="s">
        <v>276</v>
      </c>
      <c r="P36">
        <v>41.868000000000002</v>
      </c>
      <c r="Q36">
        <v>46.5</v>
      </c>
      <c r="S36">
        <v>1</v>
      </c>
      <c r="T36">
        <f t="array" ref="T36:T44">L36:L44*Q36:Q44</f>
        <v>1.86</v>
      </c>
      <c r="U36" t="str">
        <f t="array" ref="U36:U44">M36:M44</f>
        <v>Oil Gas liquid</v>
      </c>
      <c r="V36">
        <f t="array" ref="V36:V44">_xlfn.ANCHORARRAY(T36)/S36</f>
        <v>1.86</v>
      </c>
    </row>
    <row r="37" spans="5:22" x14ac:dyDescent="0.2">
      <c r="L37">
        <v>0.23</v>
      </c>
      <c r="M37" t="s">
        <v>70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277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68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278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76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77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279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280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3"/>
  <dimension ref="B2:AE36"/>
  <sheetViews>
    <sheetView zoomScale="76" zoomScaleNormal="85" workbookViewId="0">
      <selection activeCell="Q11" sqref="Q1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6" width="16" customWidth="1"/>
    <col min="17" max="17" width="19.28515625" customWidth="1"/>
    <col min="18" max="18" width="15" customWidth="1"/>
    <col min="19" max="19" width="13" customWidth="1"/>
    <col min="20" max="20" width="18" customWidth="1"/>
    <col min="21" max="21" width="15" customWidth="1"/>
    <col min="22" max="22" width="15.28515625" customWidth="1"/>
    <col min="25" max="25" width="12.5703125" bestFit="1" customWidth="1"/>
  </cols>
  <sheetData>
    <row r="2" spans="2:31" ht="16.5" customHeight="1" x14ac:dyDescent="0.25">
      <c r="B2" s="102" t="s">
        <v>281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0"/>
      <c r="R2" s="32"/>
      <c r="S2" s="27"/>
      <c r="T2" s="28"/>
    </row>
    <row r="3" spans="2:31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0"/>
      <c r="R3" s="32"/>
      <c r="S3" s="27"/>
      <c r="T3" s="28"/>
    </row>
    <row r="4" spans="2:31" ht="15.75" customHeight="1" x14ac:dyDescent="0.2">
      <c r="E4" s="36" t="s">
        <v>1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7"/>
      <c r="R4" s="35"/>
      <c r="S4" s="35"/>
      <c r="T4" s="35"/>
    </row>
    <row r="5" spans="2:31" s="24" customFormat="1" ht="49.9" customHeight="1" x14ac:dyDescent="0.2">
      <c r="B5" s="18" t="s">
        <v>2</v>
      </c>
      <c r="C5" s="18" t="s">
        <v>268</v>
      </c>
      <c r="D5" s="18" t="s">
        <v>4</v>
      </c>
      <c r="E5" s="18" t="s">
        <v>5</v>
      </c>
      <c r="F5" s="18" t="s">
        <v>6</v>
      </c>
      <c r="G5" s="18" t="s">
        <v>7</v>
      </c>
      <c r="H5" s="16" t="s">
        <v>8</v>
      </c>
      <c r="I5" s="16" t="s">
        <v>9</v>
      </c>
      <c r="J5" s="16" t="s">
        <v>10</v>
      </c>
      <c r="K5" s="16" t="s">
        <v>11</v>
      </c>
      <c r="L5" s="16" t="s">
        <v>12</v>
      </c>
      <c r="M5" s="16" t="s">
        <v>13</v>
      </c>
      <c r="N5" s="16" t="s">
        <v>14</v>
      </c>
      <c r="O5" s="18" t="s">
        <v>15</v>
      </c>
      <c r="P5" s="18" t="s">
        <v>378</v>
      </c>
      <c r="Q5" s="18" t="s">
        <v>282</v>
      </c>
      <c r="R5" s="18" t="s">
        <v>283</v>
      </c>
      <c r="S5" s="18" t="s">
        <v>17</v>
      </c>
      <c r="T5" s="18" t="s">
        <v>18</v>
      </c>
    </row>
    <row r="6" spans="2:31" ht="53.25" customHeight="1" x14ac:dyDescent="0.2">
      <c r="B6" s="19" t="s">
        <v>19</v>
      </c>
      <c r="C6" s="19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225" t="s">
        <v>25</v>
      </c>
      <c r="I6" s="226"/>
      <c r="J6" s="226"/>
      <c r="K6" s="226"/>
      <c r="L6" s="226"/>
      <c r="M6" s="226"/>
      <c r="N6" s="226"/>
      <c r="O6" s="19" t="s">
        <v>26</v>
      </c>
      <c r="P6" s="19"/>
      <c r="Q6" s="19" t="s">
        <v>27</v>
      </c>
      <c r="R6" s="19" t="s">
        <v>27</v>
      </c>
      <c r="S6" s="19" t="s">
        <v>28</v>
      </c>
      <c r="T6" s="19" t="s">
        <v>29</v>
      </c>
      <c r="Z6" s="54"/>
      <c r="AA6" s="23"/>
    </row>
    <row r="7" spans="2:31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1</v>
      </c>
      <c r="Q7" s="89">
        <v>0.9</v>
      </c>
      <c r="R7" s="88">
        <v>0.92</v>
      </c>
      <c r="S7" s="89">
        <v>47.5</v>
      </c>
      <c r="T7" s="88">
        <v>5.26</v>
      </c>
    </row>
    <row r="8" spans="2:31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0.55000000000000004</v>
      </c>
      <c r="L8" s="90">
        <v>0</v>
      </c>
      <c r="M8" s="90">
        <v>0</v>
      </c>
      <c r="N8" s="90">
        <v>0</v>
      </c>
      <c r="O8" s="92">
        <v>1</v>
      </c>
      <c r="P8" s="92">
        <v>1</v>
      </c>
      <c r="Q8" s="92">
        <v>0.88</v>
      </c>
      <c r="R8" s="91">
        <v>0.87</v>
      </c>
      <c r="S8" s="142">
        <v>61</v>
      </c>
      <c r="T8" s="142">
        <v>1.1100000000000001</v>
      </c>
    </row>
    <row r="12" spans="2:31" ht="15.75" customHeight="1" x14ac:dyDescent="0.25">
      <c r="B12" s="102" t="s">
        <v>284</v>
      </c>
      <c r="C12" s="59"/>
      <c r="V12" s="52"/>
      <c r="W12" s="53"/>
      <c r="Z12" s="53"/>
      <c r="AA12" s="53"/>
      <c r="AB12" s="53"/>
      <c r="AC12" s="53"/>
      <c r="AD12" s="53"/>
      <c r="AE12" s="53"/>
    </row>
    <row r="13" spans="2:31" x14ac:dyDescent="0.2">
      <c r="I13" s="50"/>
      <c r="J13" s="50"/>
      <c r="K13" s="50"/>
      <c r="L13" s="50"/>
      <c r="M13" s="50"/>
      <c r="N13" s="50"/>
      <c r="W13" s="54"/>
      <c r="Z13" s="54"/>
      <c r="AA13" s="54"/>
      <c r="AB13" s="54"/>
      <c r="AC13" s="54"/>
      <c r="AD13" s="54"/>
      <c r="AE13" s="54"/>
    </row>
    <row r="14" spans="2:31" x14ac:dyDescent="0.2">
      <c r="U14" s="23"/>
      <c r="V14" s="23"/>
      <c r="W14" s="85"/>
      <c r="Z14" s="55"/>
      <c r="AA14" s="55"/>
      <c r="AB14" s="56"/>
      <c r="AC14" s="23"/>
      <c r="AD14" s="23"/>
      <c r="AE14" s="57"/>
    </row>
    <row r="15" spans="2:31" ht="35.450000000000003" customHeight="1" x14ac:dyDescent="0.2">
      <c r="B15" s="18" t="s">
        <v>2</v>
      </c>
      <c r="C15" s="18" t="s">
        <v>268</v>
      </c>
      <c r="D15" s="18" t="s">
        <v>4</v>
      </c>
      <c r="E15" s="18" t="s">
        <v>5</v>
      </c>
      <c r="F15" s="18" t="s">
        <v>6</v>
      </c>
      <c r="G15" s="18" t="s">
        <v>7</v>
      </c>
      <c r="H15" s="17" t="s">
        <v>285</v>
      </c>
      <c r="I15" s="17" t="s">
        <v>48</v>
      </c>
      <c r="J15" s="16" t="s">
        <v>286</v>
      </c>
      <c r="K15" s="18" t="s">
        <v>15</v>
      </c>
      <c r="L15" s="16" t="s">
        <v>16</v>
      </c>
      <c r="M15" s="16" t="s">
        <v>16</v>
      </c>
      <c r="N15" s="18" t="s">
        <v>17</v>
      </c>
      <c r="O15" s="18" t="s">
        <v>18</v>
      </c>
      <c r="P15" s="211"/>
      <c r="W15" s="55"/>
      <c r="Z15" s="55"/>
      <c r="AA15" s="55"/>
      <c r="AB15" s="56"/>
      <c r="AC15" s="23"/>
      <c r="AD15" s="23"/>
      <c r="AE15" s="57"/>
    </row>
    <row r="16" spans="2:31" ht="61.9" customHeight="1" thickBot="1" x14ac:dyDescent="0.25">
      <c r="B16" s="15" t="s">
        <v>19</v>
      </c>
      <c r="C16" s="15" t="s">
        <v>20</v>
      </c>
      <c r="D16" s="15" t="s">
        <v>21</v>
      </c>
      <c r="E16" s="15" t="s">
        <v>22</v>
      </c>
      <c r="F16" s="15" t="s">
        <v>23</v>
      </c>
      <c r="G16" s="15" t="s">
        <v>24</v>
      </c>
      <c r="H16" s="14" t="s">
        <v>285</v>
      </c>
      <c r="I16" s="14" t="s">
        <v>287</v>
      </c>
      <c r="J16" s="13" t="s">
        <v>25</v>
      </c>
      <c r="K16" s="15" t="s">
        <v>26</v>
      </c>
      <c r="L16" s="15" t="s">
        <v>27</v>
      </c>
      <c r="M16" s="15" t="s">
        <v>27</v>
      </c>
      <c r="N16" s="15" t="s">
        <v>288</v>
      </c>
      <c r="O16" s="15" t="s">
        <v>289</v>
      </c>
      <c r="P16" s="212"/>
      <c r="Z16" s="55"/>
      <c r="AA16" s="55"/>
      <c r="AE16" s="58"/>
    </row>
    <row r="17" spans="2:16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  <c r="P17" s="7"/>
    </row>
    <row r="18" spans="2:16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290</v>
      </c>
      <c r="J18" s="8">
        <v>0.6</v>
      </c>
      <c r="K18" s="9"/>
      <c r="L18" s="4">
        <v>0.9</v>
      </c>
      <c r="M18" s="9"/>
      <c r="N18" s="9"/>
      <c r="O18" s="9"/>
      <c r="P18" s="9"/>
    </row>
    <row r="19" spans="2:16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290</v>
      </c>
      <c r="J19" s="5">
        <v>0.6</v>
      </c>
      <c r="K19" s="7"/>
      <c r="L19" s="7">
        <v>0.9</v>
      </c>
      <c r="M19" s="7"/>
      <c r="N19" s="7"/>
      <c r="O19" s="7"/>
      <c r="P19" s="7"/>
    </row>
    <row r="20" spans="2:16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290</v>
      </c>
      <c r="J20" s="8">
        <v>0.6</v>
      </c>
      <c r="K20" s="9"/>
      <c r="L20" s="9">
        <v>0.6</v>
      </c>
      <c r="M20" s="9"/>
      <c r="N20" s="9"/>
      <c r="O20" s="9"/>
      <c r="P20" s="9"/>
    </row>
    <row r="21" spans="2:16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  <c r="P21" s="7"/>
    </row>
    <row r="22" spans="2:16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  <c r="P22" s="9"/>
    </row>
    <row r="23" spans="2:16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  <c r="P23" s="7"/>
    </row>
    <row r="24" spans="2:16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  <c r="P24" s="9"/>
    </row>
    <row r="25" spans="2:16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  <c r="P25" s="7"/>
    </row>
    <row r="26" spans="2:16" ht="18.75" customHeight="1" x14ac:dyDescent="0.2">
      <c r="B26" s="133"/>
      <c r="C26" s="133"/>
      <c r="D26" s="133"/>
      <c r="E26" s="133" t="str">
        <f>SEC_Comm!C13</f>
        <v>CO2</v>
      </c>
      <c r="F26" s="133"/>
      <c r="G26" s="133"/>
      <c r="H26" s="133"/>
      <c r="I26" s="133"/>
      <c r="J26" s="139"/>
      <c r="K26" s="133"/>
      <c r="L26" s="133"/>
      <c r="M26" s="133"/>
      <c r="N26" s="133"/>
      <c r="O26" s="133"/>
      <c r="P26" s="133"/>
    </row>
    <row r="27" spans="2:16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3">
        <v>1</v>
      </c>
      <c r="L27" s="7"/>
      <c r="M27" s="7">
        <v>0.87</v>
      </c>
      <c r="N27" s="143">
        <v>61</v>
      </c>
      <c r="O27" s="7">
        <v>1.1100000000000001</v>
      </c>
      <c r="P27" s="7"/>
    </row>
    <row r="28" spans="2:16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290</v>
      </c>
      <c r="J28" s="8">
        <v>0.55000000000000004</v>
      </c>
      <c r="K28" s="9"/>
      <c r="L28" s="4">
        <v>0.88</v>
      </c>
      <c r="M28" s="9"/>
      <c r="N28" s="9"/>
      <c r="O28" s="9"/>
      <c r="P28" s="9"/>
    </row>
    <row r="29" spans="2:16" ht="18.95" customHeight="1" x14ac:dyDescent="0.2">
      <c r="D29" s="7"/>
      <c r="E29" s="7"/>
      <c r="F29" s="7"/>
      <c r="G29" s="7"/>
      <c r="H29" s="7">
        <v>2024</v>
      </c>
      <c r="I29" s="6" t="s">
        <v>290</v>
      </c>
      <c r="J29" s="5">
        <v>0.55000000000000004</v>
      </c>
      <c r="K29" s="7"/>
      <c r="L29" s="7">
        <v>0.88</v>
      </c>
      <c r="M29" s="7"/>
      <c r="N29" s="7"/>
      <c r="O29" s="7"/>
      <c r="P29" s="7"/>
    </row>
    <row r="30" spans="2:16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290</v>
      </c>
      <c r="J30" s="8">
        <v>0.55000000000000004</v>
      </c>
      <c r="K30" s="9"/>
      <c r="L30" s="9">
        <v>0.92</v>
      </c>
      <c r="M30" s="9"/>
      <c r="N30" s="9"/>
      <c r="O30" s="9"/>
      <c r="P30" s="9"/>
    </row>
    <row r="31" spans="2:16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>
        <v>0.9</v>
      </c>
      <c r="M31" s="7"/>
      <c r="N31" s="7"/>
      <c r="O31" s="7"/>
      <c r="P31" s="7"/>
    </row>
    <row r="32" spans="2:16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0.55000000000000004</v>
      </c>
      <c r="K32" s="9"/>
      <c r="L32" s="9"/>
      <c r="M32" s="9"/>
      <c r="N32" s="9"/>
      <c r="O32" s="9"/>
      <c r="P32" s="9"/>
    </row>
    <row r="33" spans="2:16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  <c r="P33" s="7"/>
    </row>
    <row r="34" spans="2:16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  <c r="P34" s="9"/>
    </row>
    <row r="35" spans="2:16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  <c r="P35" s="7"/>
    </row>
    <row r="36" spans="2:16" ht="18.95" customHeight="1" thickBot="1" x14ac:dyDescent="0.25">
      <c r="B36" s="173"/>
      <c r="C36" s="173"/>
      <c r="D36" s="173"/>
      <c r="E36" s="173" t="str">
        <f>SEC_Comm!C13</f>
        <v>CO2</v>
      </c>
      <c r="F36" s="173"/>
      <c r="G36" s="173"/>
      <c r="H36" s="173"/>
      <c r="I36" s="173"/>
      <c r="J36" s="174"/>
      <c r="K36" s="173"/>
      <c r="L36" s="173"/>
      <c r="M36" s="173"/>
      <c r="N36" s="173"/>
      <c r="O36" s="173"/>
      <c r="P36" s="133"/>
    </row>
  </sheetData>
  <mergeCells count="1">
    <mergeCell ref="H6:N6"/>
  </mergeCells>
  <pageMargins left="0.75" right="0.75" top="1" bottom="1" header="0.5" footer="0.5"/>
  <pageSetup orientation="portrait" horizontalDpi="4294967292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4"/>
  <dimension ref="B2:S45"/>
  <sheetViews>
    <sheetView zoomScale="130" zoomScaleNormal="130" workbookViewId="0">
      <selection activeCell="A10" sqref="A10:XFD10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customHeight="1" x14ac:dyDescent="0.25">
      <c r="B2" s="102" t="s">
        <v>0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customHeight="1" x14ac:dyDescent="0.2">
      <c r="B5" s="106" t="s">
        <v>2</v>
      </c>
      <c r="C5" s="106" t="s">
        <v>3</v>
      </c>
      <c r="D5" s="106" t="s">
        <v>4</v>
      </c>
      <c r="E5" s="106" t="s">
        <v>5</v>
      </c>
      <c r="F5" s="106" t="s">
        <v>6</v>
      </c>
      <c r="G5" s="106" t="s">
        <v>7</v>
      </c>
      <c r="H5" s="107" t="s">
        <v>8</v>
      </c>
      <c r="I5" s="107" t="s">
        <v>9</v>
      </c>
      <c r="J5" s="107" t="s">
        <v>10</v>
      </c>
      <c r="K5" s="107" t="s">
        <v>11</v>
      </c>
      <c r="L5" s="107" t="s">
        <v>12</v>
      </c>
      <c r="M5" s="107" t="s">
        <v>13</v>
      </c>
      <c r="N5" s="107" t="s">
        <v>14</v>
      </c>
      <c r="O5" s="106" t="s">
        <v>15</v>
      </c>
      <c r="P5" s="106" t="s">
        <v>16</v>
      </c>
      <c r="Q5" s="106" t="s">
        <v>17</v>
      </c>
      <c r="R5" s="106" t="s">
        <v>18</v>
      </c>
    </row>
    <row r="6" spans="2:19" ht="38.25" customHeight="1" x14ac:dyDescent="0.2">
      <c r="B6" s="19" t="s">
        <v>19</v>
      </c>
      <c r="C6" s="19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225" t="s">
        <v>25</v>
      </c>
      <c r="I6" s="226"/>
      <c r="J6" s="226"/>
      <c r="K6" s="226"/>
      <c r="L6" s="226"/>
      <c r="M6" s="226"/>
      <c r="N6" s="226"/>
      <c r="O6" s="19" t="s">
        <v>26</v>
      </c>
      <c r="P6" s="19" t="s">
        <v>27</v>
      </c>
      <c r="Q6" s="19" t="s">
        <v>28</v>
      </c>
      <c r="R6" s="19" t="s">
        <v>29</v>
      </c>
    </row>
    <row r="7" spans="2:19" ht="20.45" customHeight="1" x14ac:dyDescent="0.2">
      <c r="B7" s="136" t="str">
        <f>SEC_Processes!D17</f>
        <v>ELE_EX_BIOMASS</v>
      </c>
      <c r="C7" s="135" t="s">
        <v>30</v>
      </c>
      <c r="D7" s="116" t="s">
        <v>31</v>
      </c>
      <c r="E7" s="136" t="str">
        <f>SEC_Comm!C7</f>
        <v>ELEC_HV</v>
      </c>
      <c r="F7" s="137">
        <v>1</v>
      </c>
      <c r="G7" s="137">
        <v>31.536000000000001</v>
      </c>
      <c r="H7" s="139">
        <v>0.1</v>
      </c>
      <c r="I7" s="139">
        <v>0.1</v>
      </c>
      <c r="J7" s="139">
        <v>0.1</v>
      </c>
      <c r="K7" s="139">
        <v>0.11</v>
      </c>
      <c r="L7" s="139">
        <v>0.11</v>
      </c>
      <c r="M7" s="139">
        <v>0.11</v>
      </c>
      <c r="N7" s="139">
        <v>0.11</v>
      </c>
      <c r="O7" s="138">
        <v>0.05</v>
      </c>
      <c r="P7" s="132">
        <v>1</v>
      </c>
      <c r="Q7" s="138">
        <v>100</v>
      </c>
      <c r="R7" s="132">
        <v>1E-3</v>
      </c>
    </row>
    <row r="8" spans="2:19" ht="20.45" customHeight="1" x14ac:dyDescent="0.2">
      <c r="B8" s="45" t="str">
        <f>SEC_Processes!D18</f>
        <v>ELE_EX_HIDRO</v>
      </c>
      <c r="C8" s="134" t="s">
        <v>32</v>
      </c>
      <c r="D8" s="42" t="s">
        <v>33</v>
      </c>
      <c r="E8" s="93" t="str">
        <f>SEC_Comm!C7</f>
        <v>ELEC_HV</v>
      </c>
      <c r="F8" s="47">
        <v>1</v>
      </c>
      <c r="G8" s="46">
        <v>31.536000000000001</v>
      </c>
      <c r="H8" s="47">
        <v>0.05</v>
      </c>
      <c r="I8" s="47">
        <v>0.05</v>
      </c>
      <c r="J8" s="47">
        <v>0.05</v>
      </c>
      <c r="K8" s="47">
        <v>0.05</v>
      </c>
      <c r="L8" s="47">
        <v>0.05</v>
      </c>
      <c r="M8" s="47">
        <v>0.05</v>
      </c>
      <c r="N8" s="47">
        <v>0.05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3" t="str">
        <f>SEC_Processes!D19</f>
        <v>ELE_EX_HIDRO_RUN</v>
      </c>
      <c r="C9" s="135" t="s">
        <v>34</v>
      </c>
      <c r="D9" s="116" t="s">
        <v>35</v>
      </c>
      <c r="E9" s="61" t="str">
        <f>SEC_Comm!C7</f>
        <v>ELEC_HV</v>
      </c>
      <c r="F9" s="131">
        <v>1</v>
      </c>
      <c r="G9" s="61">
        <v>31.536000000000001</v>
      </c>
      <c r="H9" s="139">
        <v>0.1</v>
      </c>
      <c r="I9" s="139">
        <v>0.1</v>
      </c>
      <c r="J9" s="139">
        <v>0.1</v>
      </c>
      <c r="K9" s="139">
        <v>0.1</v>
      </c>
      <c r="L9" s="139">
        <v>0.1</v>
      </c>
      <c r="M9" s="139">
        <v>0.1</v>
      </c>
      <c r="N9" s="139">
        <v>0.1</v>
      </c>
      <c r="O9" s="132">
        <v>0.05</v>
      </c>
      <c r="P9" s="132">
        <v>1</v>
      </c>
      <c r="Q9" s="138">
        <v>74</v>
      </c>
      <c r="R9" s="132">
        <v>1E-3</v>
      </c>
    </row>
    <row r="10" spans="2:19" ht="20.45" customHeight="1" x14ac:dyDescent="0.2">
      <c r="B10" s="133" t="str">
        <f>SEC_Processes!D21</f>
        <v>ELE_EX_OTHER</v>
      </c>
      <c r="C10" s="127" t="s">
        <v>37</v>
      </c>
      <c r="D10" s="116" t="s">
        <v>38</v>
      </c>
      <c r="E10" s="61" t="str">
        <f>SEC_Comm!C7</f>
        <v>ELEC_HV</v>
      </c>
      <c r="F10" s="131">
        <v>1</v>
      </c>
      <c r="G10" s="61">
        <v>31.536000000000001</v>
      </c>
      <c r="H10" s="139">
        <v>0.1</v>
      </c>
      <c r="I10" s="139">
        <v>0.1</v>
      </c>
      <c r="J10" s="139">
        <v>0.1</v>
      </c>
      <c r="K10" s="139">
        <v>0.1</v>
      </c>
      <c r="L10" s="139">
        <v>0.1</v>
      </c>
      <c r="M10" s="139">
        <v>0.1</v>
      </c>
      <c r="N10" s="139">
        <v>0.1</v>
      </c>
      <c r="O10" s="132">
        <v>0.05</v>
      </c>
      <c r="P10" s="132">
        <v>1</v>
      </c>
      <c r="Q10" s="138">
        <v>50</v>
      </c>
      <c r="R10" s="132">
        <v>0</v>
      </c>
    </row>
    <row r="11" spans="2:19" ht="20.45" customHeight="1" x14ac:dyDescent="0.2">
      <c r="B11" s="45" t="str">
        <f>SEC_Processes!D11</f>
        <v>ELE_EX_WIND-ON</v>
      </c>
      <c r="C11" s="93" t="str">
        <f>SEC_Processes!E11</f>
        <v>Existing Onshore Wind Turbines</v>
      </c>
      <c r="D11" s="114" t="s">
        <v>39</v>
      </c>
      <c r="E11" s="46" t="str">
        <f>SEC_Comm!C7</f>
        <v>ELEC_HV</v>
      </c>
      <c r="F11" s="47">
        <v>1</v>
      </c>
      <c r="G11" s="46">
        <v>31.536000000000001</v>
      </c>
      <c r="H11" s="140">
        <v>1.1200000000000001</v>
      </c>
      <c r="I11" s="47">
        <v>1.22</v>
      </c>
      <c r="J11" s="47">
        <v>1.22</v>
      </c>
      <c r="K11" s="47">
        <v>1.22</v>
      </c>
      <c r="L11" s="47">
        <v>1.22</v>
      </c>
      <c r="M11" s="47">
        <v>1.22</v>
      </c>
      <c r="N11" s="47">
        <v>1.22</v>
      </c>
      <c r="O11" s="95">
        <v>0.05</v>
      </c>
      <c r="P11" s="95">
        <v>1</v>
      </c>
      <c r="Q11" s="95">
        <v>27</v>
      </c>
      <c r="R11" s="95">
        <v>1E-3</v>
      </c>
    </row>
    <row r="12" spans="2:19" ht="20.45" customHeight="1" x14ac:dyDescent="0.2">
      <c r="B12" s="62" t="str">
        <f>SEC_Processes!D12</f>
        <v>ELE_EX_AUTOPR_PV</v>
      </c>
      <c r="C12" s="165" t="str">
        <f>SEC_Processes!E12</f>
        <v>Existing autoproducer PV Elecrticity</v>
      </c>
      <c r="D12" s="116" t="s">
        <v>40</v>
      </c>
      <c r="E12" s="46" t="s">
        <v>41</v>
      </c>
      <c r="F12" s="131">
        <v>1</v>
      </c>
      <c r="G12" s="61">
        <v>31.536000000000001</v>
      </c>
      <c r="H12" s="197">
        <v>0.443</v>
      </c>
      <c r="I12" s="131">
        <v>0.66500000000000004</v>
      </c>
      <c r="J12" s="131">
        <v>0.66500000000000004</v>
      </c>
      <c r="K12" s="131">
        <v>0.66500000000000004</v>
      </c>
      <c r="L12" s="131">
        <v>0.66500000000000004</v>
      </c>
      <c r="M12" s="131">
        <v>0.66500000000000004</v>
      </c>
      <c r="N12" s="131">
        <v>0.66500000000000004</v>
      </c>
      <c r="O12" s="198">
        <v>0.05</v>
      </c>
      <c r="P12" s="198">
        <v>1</v>
      </c>
      <c r="Q12" s="198">
        <v>20</v>
      </c>
      <c r="R12" s="198">
        <v>0</v>
      </c>
    </row>
    <row r="13" spans="2:19" ht="20.45" customHeight="1" x14ac:dyDescent="0.2">
      <c r="B13" s="45" t="str">
        <f>SEC_Processes!D13</f>
        <v>ELE_EX_AUTOPR_PV_RES</v>
      </c>
      <c r="C13" s="93" t="str">
        <f>SEC_Processes!E13</f>
        <v>Existing autoproducer residential PV Elecrticity</v>
      </c>
      <c r="D13" s="114" t="s">
        <v>40</v>
      </c>
      <c r="E13" s="46" t="s">
        <v>42</v>
      </c>
      <c r="F13" s="47">
        <v>1</v>
      </c>
      <c r="G13" s="46">
        <v>31.536000000000001</v>
      </c>
      <c r="H13" s="47">
        <v>0.16700000000000001</v>
      </c>
      <c r="I13" s="47">
        <v>0.26700000000000002</v>
      </c>
      <c r="J13" s="47">
        <v>0.26700000000000002</v>
      </c>
      <c r="K13" s="47">
        <v>0.26700000000000002</v>
      </c>
      <c r="L13" s="47">
        <v>0.26700000000000002</v>
      </c>
      <c r="M13" s="47">
        <v>0.26700000000000002</v>
      </c>
      <c r="N13" s="47">
        <v>0.26700000000000002</v>
      </c>
      <c r="O13" s="95">
        <v>0.05</v>
      </c>
      <c r="P13" s="95">
        <v>1</v>
      </c>
      <c r="Q13" s="95">
        <v>28</v>
      </c>
      <c r="R13" s="95">
        <v>0</v>
      </c>
    </row>
    <row r="14" spans="2:19" ht="20.25" customHeight="1" thickBot="1" x14ac:dyDescent="0.25">
      <c r="B14" s="64" t="str">
        <f>SEC_Processes!D14</f>
        <v>ELE_EX_PV</v>
      </c>
      <c r="C14" s="97" t="str">
        <f>SEC_Processes!E14</f>
        <v>Existing Photovoltaics</v>
      </c>
      <c r="D14" s="199" t="s">
        <v>40</v>
      </c>
      <c r="E14" s="64" t="s">
        <v>41</v>
      </c>
      <c r="F14" s="84">
        <v>1</v>
      </c>
      <c r="G14" s="64">
        <v>31.536000000000001</v>
      </c>
      <c r="H14" s="141">
        <v>0.53</v>
      </c>
      <c r="I14" s="84">
        <v>0.53</v>
      </c>
      <c r="J14" s="84">
        <v>0.53</v>
      </c>
      <c r="K14" s="84">
        <v>0.53</v>
      </c>
      <c r="L14" s="84">
        <v>0.53</v>
      </c>
      <c r="M14" s="84">
        <v>0.53</v>
      </c>
      <c r="N14" s="84">
        <v>0.53</v>
      </c>
      <c r="O14" s="96">
        <v>0.05</v>
      </c>
      <c r="P14" s="96">
        <v>1</v>
      </c>
      <c r="Q14" s="96">
        <v>17</v>
      </c>
      <c r="R14" s="96">
        <v>1E-3</v>
      </c>
    </row>
    <row r="16" spans="2:19" x14ac:dyDescent="0.2">
      <c r="I16" s="105"/>
      <c r="J16" s="105"/>
    </row>
    <row r="17" spans="2:9" x14ac:dyDescent="0.2">
      <c r="B17" s="23"/>
    </row>
    <row r="19" spans="2:9" x14ac:dyDescent="0.2">
      <c r="I19" s="105"/>
    </row>
    <row r="21" spans="2:9" x14ac:dyDescent="0.2">
      <c r="B21" s="43" t="s">
        <v>43</v>
      </c>
      <c r="C21" s="42"/>
      <c r="D21" s="42"/>
      <c r="E21" s="42"/>
      <c r="F21" s="42"/>
      <c r="G21" s="42"/>
      <c r="H21" s="42"/>
      <c r="I21" s="42"/>
    </row>
    <row r="22" spans="2:9" x14ac:dyDescent="0.2">
      <c r="B22" s="106" t="s">
        <v>44</v>
      </c>
      <c r="C22" s="106" t="s">
        <v>45</v>
      </c>
      <c r="D22" s="106" t="s">
        <v>46</v>
      </c>
      <c r="E22" s="106" t="s">
        <v>47</v>
      </c>
      <c r="F22" s="106" t="s">
        <v>48</v>
      </c>
      <c r="G22" s="106" t="s">
        <v>49</v>
      </c>
      <c r="H22" s="106" t="s">
        <v>50</v>
      </c>
      <c r="I22" s="106" t="s">
        <v>51</v>
      </c>
    </row>
    <row r="23" spans="2:9" ht="63.75" customHeight="1" x14ac:dyDescent="0.2">
      <c r="B23" s="19" t="s">
        <v>52</v>
      </c>
      <c r="C23" s="19" t="s">
        <v>53</v>
      </c>
      <c r="D23" s="19" t="s">
        <v>54</v>
      </c>
      <c r="E23" s="19" t="s">
        <v>47</v>
      </c>
      <c r="F23" s="19" t="s">
        <v>55</v>
      </c>
      <c r="G23" s="19" t="s">
        <v>56</v>
      </c>
      <c r="H23" s="19" t="s">
        <v>57</v>
      </c>
      <c r="I23" s="19" t="s">
        <v>58</v>
      </c>
    </row>
    <row r="24" spans="2:9" x14ac:dyDescent="0.2">
      <c r="B24" s="66" t="s">
        <v>59</v>
      </c>
      <c r="C24" s="116" t="s">
        <v>60</v>
      </c>
      <c r="D24" s="66" t="s">
        <v>61</v>
      </c>
      <c r="E24" s="117" t="s">
        <v>62</v>
      </c>
      <c r="F24" s="65"/>
      <c r="G24" s="65"/>
      <c r="H24" s="65"/>
      <c r="I24" s="65"/>
    </row>
    <row r="25" spans="2:9" x14ac:dyDescent="0.2">
      <c r="B25" s="49" t="s">
        <v>59</v>
      </c>
      <c r="C25" s="114" t="s">
        <v>63</v>
      </c>
      <c r="D25" s="49" t="s">
        <v>64</v>
      </c>
      <c r="E25" s="115" t="s">
        <v>62</v>
      </c>
      <c r="F25" s="48"/>
      <c r="G25" s="48"/>
      <c r="H25" s="48"/>
      <c r="I25" s="48"/>
    </row>
    <row r="26" spans="2:9" x14ac:dyDescent="0.2">
      <c r="B26" s="66" t="s">
        <v>59</v>
      </c>
      <c r="C26" s="116" t="s">
        <v>65</v>
      </c>
      <c r="D26" s="66" t="s">
        <v>66</v>
      </c>
      <c r="E26" s="117" t="s">
        <v>62</v>
      </c>
      <c r="F26" s="65"/>
      <c r="G26" s="65"/>
      <c r="H26" s="65"/>
      <c r="I26" s="65"/>
    </row>
    <row r="27" spans="2:9" x14ac:dyDescent="0.2">
      <c r="B27" s="181" t="s">
        <v>59</v>
      </c>
      <c r="C27" s="42" t="s">
        <v>67</v>
      </c>
      <c r="D27" s="181" t="s">
        <v>68</v>
      </c>
      <c r="E27" s="182" t="s">
        <v>62</v>
      </c>
      <c r="F27" s="44"/>
      <c r="G27" s="44"/>
      <c r="H27" s="44"/>
      <c r="I27" s="44"/>
    </row>
    <row r="28" spans="2:9" x14ac:dyDescent="0.2">
      <c r="B28" s="66" t="s">
        <v>59</v>
      </c>
      <c r="C28" s="116" t="s">
        <v>69</v>
      </c>
      <c r="D28" s="66" t="s">
        <v>70</v>
      </c>
      <c r="E28" s="117" t="s">
        <v>62</v>
      </c>
      <c r="F28" s="65"/>
      <c r="G28" s="65"/>
      <c r="H28" s="65"/>
      <c r="I28" s="65"/>
    </row>
    <row r="29" spans="2:9" x14ac:dyDescent="0.2">
      <c r="B29" s="181" t="s">
        <v>59</v>
      </c>
      <c r="C29" s="42" t="s">
        <v>71</v>
      </c>
      <c r="D29" s="181" t="s">
        <v>72</v>
      </c>
      <c r="E29" s="182" t="s">
        <v>62</v>
      </c>
      <c r="F29" s="44"/>
      <c r="G29" s="44"/>
      <c r="H29" s="44"/>
      <c r="I29" s="44"/>
    </row>
    <row r="30" spans="2:9" x14ac:dyDescent="0.2">
      <c r="B30" s="66" t="s">
        <v>59</v>
      </c>
      <c r="C30" s="116" t="s">
        <v>73</v>
      </c>
      <c r="D30" s="116" t="s">
        <v>73</v>
      </c>
      <c r="E30" s="117" t="s">
        <v>62</v>
      </c>
      <c r="F30" s="65"/>
      <c r="G30" s="65"/>
      <c r="H30" s="65"/>
      <c r="I30" s="65"/>
    </row>
    <row r="31" spans="2:9" x14ac:dyDescent="0.2">
      <c r="B31" s="181" t="s">
        <v>59</v>
      </c>
      <c r="C31" s="42" t="s">
        <v>74</v>
      </c>
      <c r="D31" s="42" t="s">
        <v>75</v>
      </c>
      <c r="E31" s="182" t="s">
        <v>62</v>
      </c>
      <c r="F31" s="44"/>
      <c r="G31" s="44"/>
      <c r="H31" s="44"/>
      <c r="I31" s="44"/>
    </row>
    <row r="32" spans="2:9" x14ac:dyDescent="0.2">
      <c r="B32" s="66" t="s">
        <v>59</v>
      </c>
      <c r="C32" s="116" t="s">
        <v>76</v>
      </c>
      <c r="D32" s="116" t="s">
        <v>76</v>
      </c>
      <c r="E32" s="117" t="s">
        <v>62</v>
      </c>
      <c r="F32" s="65"/>
      <c r="G32" s="65"/>
      <c r="H32" s="65"/>
      <c r="I32" s="65"/>
    </row>
    <row r="33" spans="2:9" x14ac:dyDescent="0.2">
      <c r="B33" s="181" t="s">
        <v>59</v>
      </c>
      <c r="C33" s="42" t="s">
        <v>77</v>
      </c>
      <c r="D33" s="42" t="s">
        <v>77</v>
      </c>
      <c r="E33" s="182" t="s">
        <v>62</v>
      </c>
      <c r="F33" s="44"/>
      <c r="G33" s="44"/>
      <c r="H33" s="44"/>
      <c r="I33" s="44"/>
    </row>
    <row r="34" spans="2:9" x14ac:dyDescent="0.2">
      <c r="B34" s="66" t="s">
        <v>59</v>
      </c>
      <c r="C34" s="116" t="s">
        <v>78</v>
      </c>
      <c r="D34" s="116" t="s">
        <v>79</v>
      </c>
      <c r="E34" s="117" t="s">
        <v>62</v>
      </c>
      <c r="F34" s="65"/>
      <c r="G34" s="65"/>
      <c r="H34" s="65"/>
      <c r="I34" s="65"/>
    </row>
    <row r="35" spans="2:9" x14ac:dyDescent="0.2">
      <c r="B35" s="181" t="s">
        <v>59</v>
      </c>
      <c r="C35" s="42" t="s">
        <v>80</v>
      </c>
      <c r="D35" s="181" t="s">
        <v>81</v>
      </c>
      <c r="E35" s="182" t="s">
        <v>62</v>
      </c>
      <c r="F35" s="44"/>
      <c r="G35" s="44"/>
      <c r="H35" s="44"/>
      <c r="I35" s="44"/>
    </row>
    <row r="36" spans="2:9" x14ac:dyDescent="0.2">
      <c r="B36" s="66" t="s">
        <v>59</v>
      </c>
      <c r="C36" s="116" t="s">
        <v>31</v>
      </c>
      <c r="D36" s="66" t="s">
        <v>82</v>
      </c>
      <c r="E36" s="117" t="s">
        <v>62</v>
      </c>
      <c r="F36" s="65"/>
      <c r="G36" s="65"/>
      <c r="H36" s="65"/>
      <c r="I36" s="65"/>
    </row>
    <row r="37" spans="2:9" x14ac:dyDescent="0.2">
      <c r="B37" s="181" t="s">
        <v>59</v>
      </c>
      <c r="C37" s="42" t="s">
        <v>33</v>
      </c>
      <c r="D37" s="181" t="s">
        <v>83</v>
      </c>
      <c r="E37" s="182" t="s">
        <v>62</v>
      </c>
      <c r="F37" s="44"/>
      <c r="G37" s="44"/>
      <c r="H37" s="44"/>
      <c r="I37" s="44"/>
    </row>
    <row r="38" spans="2:9" x14ac:dyDescent="0.2">
      <c r="B38" s="66" t="s">
        <v>59</v>
      </c>
      <c r="C38" s="116" t="s">
        <v>35</v>
      </c>
      <c r="D38" s="66" t="s">
        <v>84</v>
      </c>
      <c r="E38" s="117" t="s">
        <v>62</v>
      </c>
      <c r="F38" s="65"/>
      <c r="G38" s="65"/>
      <c r="H38" s="65"/>
      <c r="I38" s="65"/>
    </row>
    <row r="39" spans="2:9" x14ac:dyDescent="0.2">
      <c r="B39" s="49" t="s">
        <v>59</v>
      </c>
      <c r="C39" s="114" t="s">
        <v>36</v>
      </c>
      <c r="D39" s="49" t="s">
        <v>85</v>
      </c>
      <c r="E39" s="115" t="s">
        <v>62</v>
      </c>
      <c r="F39" s="48"/>
      <c r="G39" s="48"/>
      <c r="H39" s="48"/>
      <c r="I39" s="48"/>
    </row>
    <row r="40" spans="2:9" x14ac:dyDescent="0.2">
      <c r="B40" s="66" t="s">
        <v>59</v>
      </c>
      <c r="C40" s="116" t="s">
        <v>39</v>
      </c>
      <c r="D40" s="66" t="s">
        <v>86</v>
      </c>
      <c r="E40" s="86" t="s">
        <v>62</v>
      </c>
      <c r="F40" s="65"/>
      <c r="G40" s="65"/>
      <c r="H40" s="65"/>
      <c r="I40" s="65"/>
    </row>
    <row r="41" spans="2:9" x14ac:dyDescent="0.2">
      <c r="B41" s="49" t="s">
        <v>59</v>
      </c>
      <c r="C41" s="114" t="s">
        <v>87</v>
      </c>
      <c r="D41" s="49" t="s">
        <v>87</v>
      </c>
      <c r="E41" s="123" t="s">
        <v>62</v>
      </c>
      <c r="F41" s="48"/>
      <c r="G41" s="48"/>
      <c r="H41" s="48"/>
      <c r="I41" s="48"/>
    </row>
    <row r="42" spans="2:9" x14ac:dyDescent="0.2">
      <c r="B42" s="66" t="s">
        <v>59</v>
      </c>
      <c r="C42" s="116" t="s">
        <v>40</v>
      </c>
      <c r="D42" s="66" t="s">
        <v>88</v>
      </c>
      <c r="E42" s="86" t="s">
        <v>62</v>
      </c>
      <c r="F42" s="65"/>
      <c r="G42" s="65"/>
      <c r="H42" s="65"/>
      <c r="I42" s="65"/>
    </row>
    <row r="43" spans="2:9" x14ac:dyDescent="0.2">
      <c r="B43" s="49" t="s">
        <v>59</v>
      </c>
      <c r="C43" s="114" t="s">
        <v>89</v>
      </c>
      <c r="D43" s="49" t="s">
        <v>90</v>
      </c>
      <c r="E43" s="123" t="s">
        <v>62</v>
      </c>
      <c r="F43" s="48"/>
      <c r="G43" s="48"/>
      <c r="H43" s="48"/>
      <c r="I43" s="48"/>
    </row>
    <row r="44" spans="2:9" x14ac:dyDescent="0.2">
      <c r="B44" s="66" t="s">
        <v>59</v>
      </c>
      <c r="C44" s="116" t="s">
        <v>91</v>
      </c>
      <c r="D44" s="66" t="s">
        <v>92</v>
      </c>
      <c r="E44" s="86" t="s">
        <v>62</v>
      </c>
      <c r="F44" s="65"/>
      <c r="G44" s="65"/>
      <c r="H44" s="65"/>
      <c r="I44" s="65"/>
    </row>
    <row r="45" spans="2:9" ht="13.5" customHeight="1" thickBot="1" x14ac:dyDescent="0.25">
      <c r="B45" s="192" t="s">
        <v>59</v>
      </c>
      <c r="C45" s="193" t="s">
        <v>38</v>
      </c>
      <c r="D45" s="192" t="s">
        <v>38</v>
      </c>
      <c r="E45" s="194" t="s">
        <v>62</v>
      </c>
      <c r="F45" s="195"/>
      <c r="G45" s="195"/>
      <c r="H45" s="195"/>
      <c r="I45" s="195"/>
    </row>
  </sheetData>
  <mergeCells count="1">
    <mergeCell ref="H6:N6"/>
  </mergeCells>
  <pageMargins left="0.75" right="0.75" top="1" bottom="1" header="0.5" footer="0.5"/>
  <pageSetup orientation="portrait" horizontalDpi="429496729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X30"/>
  <sheetViews>
    <sheetView zoomScale="90" zoomScaleNormal="110" workbookViewId="0">
      <selection activeCell="O14" sqref="O14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9.4257812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6" max="16" width="12" customWidth="1"/>
    <col min="17" max="17" width="15" customWidth="1"/>
    <col min="18" max="18" width="20.85546875" customWidth="1"/>
    <col min="19" max="19" width="20.140625" customWidth="1"/>
    <col min="20" max="23" width="20.85546875" customWidth="1"/>
    <col min="24" max="24" width="53.28515625" customWidth="1"/>
  </cols>
  <sheetData>
    <row r="2" spans="2:24" ht="18" customHeight="1" x14ac:dyDescent="0.25">
      <c r="B2" s="102" t="s">
        <v>291</v>
      </c>
      <c r="C2" s="41"/>
      <c r="E2" s="26"/>
      <c r="F2" s="26"/>
      <c r="G2" s="26"/>
      <c r="H2" s="26"/>
    </row>
    <row r="3" spans="2:24" x14ac:dyDescent="0.2">
      <c r="B3" s="31"/>
      <c r="C3" s="25"/>
      <c r="E3" s="26"/>
      <c r="F3" s="26"/>
      <c r="G3" s="26"/>
      <c r="H3" s="26"/>
    </row>
    <row r="4" spans="2:24" ht="15.75" customHeight="1" x14ac:dyDescent="0.2">
      <c r="E4" s="36" t="s">
        <v>1</v>
      </c>
      <c r="F4" s="36"/>
      <c r="G4" s="36"/>
      <c r="H4" s="36"/>
      <c r="I4" s="34"/>
      <c r="J4" s="34"/>
    </row>
    <row r="5" spans="2:24" ht="15.75" customHeight="1" x14ac:dyDescent="0.2">
      <c r="B5" s="106" t="s">
        <v>2</v>
      </c>
      <c r="C5" s="106" t="s">
        <v>268</v>
      </c>
      <c r="D5" s="106" t="s">
        <v>4</v>
      </c>
      <c r="E5" s="106" t="s">
        <v>5</v>
      </c>
      <c r="F5" s="106" t="s">
        <v>6</v>
      </c>
      <c r="G5" s="106" t="s">
        <v>18</v>
      </c>
      <c r="H5" s="106" t="s">
        <v>292</v>
      </c>
      <c r="I5" s="106" t="s">
        <v>293</v>
      </c>
      <c r="J5" s="106" t="s">
        <v>294</v>
      </c>
      <c r="K5" s="106" t="s">
        <v>295</v>
      </c>
      <c r="L5" s="106" t="s">
        <v>296</v>
      </c>
      <c r="M5" s="106" t="s">
        <v>297</v>
      </c>
      <c r="N5" s="106" t="s">
        <v>298</v>
      </c>
      <c r="O5" s="106" t="s">
        <v>299</v>
      </c>
      <c r="P5" s="106" t="s">
        <v>10</v>
      </c>
      <c r="Q5" s="106" t="s">
        <v>11</v>
      </c>
      <c r="R5" s="106" t="s">
        <v>300</v>
      </c>
      <c r="S5" s="106" t="s">
        <v>301</v>
      </c>
      <c r="T5" s="106" t="s">
        <v>302</v>
      </c>
      <c r="U5" s="106" t="s">
        <v>303</v>
      </c>
      <c r="V5" s="106" t="s">
        <v>304</v>
      </c>
      <c r="W5" s="106" t="s">
        <v>305</v>
      </c>
      <c r="X5" s="106" t="s">
        <v>306</v>
      </c>
    </row>
    <row r="6" spans="2:24" ht="31.7" customHeight="1" x14ac:dyDescent="0.2">
      <c r="B6" s="118" t="s">
        <v>19</v>
      </c>
      <c r="C6" s="118" t="s">
        <v>20</v>
      </c>
      <c r="D6" s="118" t="s">
        <v>21</v>
      </c>
      <c r="E6" s="118" t="s">
        <v>22</v>
      </c>
      <c r="F6" s="118" t="s">
        <v>23</v>
      </c>
      <c r="G6" s="118" t="s">
        <v>307</v>
      </c>
      <c r="H6" s="118" t="s">
        <v>206</v>
      </c>
      <c r="I6" s="118"/>
      <c r="J6" s="118"/>
      <c r="K6" s="118" t="s">
        <v>308</v>
      </c>
      <c r="L6" s="118" t="s">
        <v>308</v>
      </c>
      <c r="M6" s="118" t="s">
        <v>308</v>
      </c>
      <c r="N6" s="118" t="s">
        <v>308</v>
      </c>
      <c r="O6" s="118" t="s">
        <v>308</v>
      </c>
      <c r="P6" s="118"/>
      <c r="Q6" s="118"/>
      <c r="R6" s="118" t="s">
        <v>309</v>
      </c>
      <c r="S6" s="118" t="s">
        <v>310</v>
      </c>
      <c r="T6" s="118" t="s">
        <v>311</v>
      </c>
      <c r="U6" s="118" t="s">
        <v>312</v>
      </c>
      <c r="V6" s="118" t="s">
        <v>313</v>
      </c>
      <c r="W6" s="118" t="s">
        <v>314</v>
      </c>
    </row>
    <row r="7" spans="2:24" ht="18.95" customHeight="1" x14ac:dyDescent="0.2">
      <c r="B7" s="201" t="str">
        <f>SEC_Processes!D24</f>
        <v>TRANSF_HV-MV</v>
      </c>
      <c r="C7" s="201" t="str">
        <f>SEC_Processes!E24</f>
        <v>Electricity Transformation and Distribution High Voltage to Medium Voltage</v>
      </c>
      <c r="D7" s="201" t="str">
        <f>SEC_Comm!C7</f>
        <v>ELEC_HV</v>
      </c>
      <c r="E7" s="201" t="str">
        <f>SEC_Comm!C10</f>
        <v>ELEC_MV_GRID</v>
      </c>
      <c r="F7" s="202">
        <v>0.94</v>
      </c>
      <c r="G7">
        <v>5.5</v>
      </c>
      <c r="H7">
        <v>1</v>
      </c>
      <c r="I7">
        <v>31.536000000000001</v>
      </c>
      <c r="J7">
        <v>30</v>
      </c>
      <c r="K7">
        <v>50</v>
      </c>
      <c r="L7">
        <v>50</v>
      </c>
      <c r="M7">
        <v>10</v>
      </c>
      <c r="N7">
        <v>10</v>
      </c>
      <c r="O7">
        <v>10</v>
      </c>
      <c r="P7">
        <v>1</v>
      </c>
      <c r="Q7">
        <v>1</v>
      </c>
      <c r="U7">
        <v>1</v>
      </c>
      <c r="V7">
        <v>1</v>
      </c>
      <c r="W7">
        <v>1</v>
      </c>
      <c r="X7" s="1">
        <f>1-F7</f>
        <v>6.0000000000000053E-2</v>
      </c>
    </row>
    <row r="8" spans="2:24" ht="18.95" customHeight="1" x14ac:dyDescent="0.2">
      <c r="B8" s="203" t="str">
        <f>SEC_Processes!D25</f>
        <v>TRANSF_MV-LV</v>
      </c>
      <c r="C8" s="203" t="str">
        <f>SEC_Processes!E25</f>
        <v>Electricity Transformation and Distribution Medium Voltage to Low Voltage</v>
      </c>
      <c r="D8" s="203" t="str">
        <f>SEC_Comm!C10</f>
        <v>ELEC_MV_GRID</v>
      </c>
      <c r="E8" s="62"/>
      <c r="F8" s="204">
        <v>0.91</v>
      </c>
      <c r="G8" s="62">
        <v>5.5</v>
      </c>
      <c r="H8" s="62">
        <v>1</v>
      </c>
      <c r="I8" s="62">
        <v>31.536000000000001</v>
      </c>
      <c r="J8" s="62">
        <v>30</v>
      </c>
      <c r="K8" s="62">
        <v>80</v>
      </c>
      <c r="L8" s="62">
        <v>70</v>
      </c>
      <c r="M8" s="62">
        <v>10</v>
      </c>
      <c r="N8" s="62">
        <v>10</v>
      </c>
      <c r="O8" s="62">
        <v>10</v>
      </c>
      <c r="P8" s="62">
        <v>1</v>
      </c>
      <c r="Q8" s="62">
        <v>1</v>
      </c>
      <c r="R8" s="62"/>
      <c r="S8" s="62"/>
      <c r="T8" s="62"/>
      <c r="U8" s="62">
        <v>1</v>
      </c>
      <c r="V8" s="62">
        <v>1</v>
      </c>
      <c r="W8" s="62">
        <v>1</v>
      </c>
    </row>
    <row r="9" spans="2:24" ht="18.95" customHeight="1" x14ac:dyDescent="0.2">
      <c r="B9" s="209"/>
      <c r="C9" s="209"/>
      <c r="D9" s="209"/>
      <c r="E9" s="209" t="str">
        <f>SEC_Comm!C11</f>
        <v>ELEC_LV_GRID</v>
      </c>
      <c r="F9" s="210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</row>
    <row r="10" spans="2:24" ht="18.95" customHeight="1" x14ac:dyDescent="0.2">
      <c r="B10" s="203" t="str">
        <f>SEC_Processes!D26</f>
        <v>DISTRIBU_LV</v>
      </c>
      <c r="C10" s="203" t="str">
        <f>SEC_Processes!E26</f>
        <v>Electricity distribution to Low Voltage</v>
      </c>
      <c r="D10" s="62" t="s">
        <v>42</v>
      </c>
      <c r="E10" s="62"/>
      <c r="F10" s="62">
        <v>0.89</v>
      </c>
      <c r="G10" s="62">
        <v>5.5</v>
      </c>
      <c r="H10" s="62">
        <v>1</v>
      </c>
      <c r="I10" s="62">
        <v>31.536000000000001</v>
      </c>
      <c r="J10" s="62">
        <v>30</v>
      </c>
      <c r="K10" s="62">
        <v>150</v>
      </c>
      <c r="L10" s="62">
        <v>150</v>
      </c>
      <c r="M10" s="62">
        <v>10</v>
      </c>
      <c r="N10" s="62">
        <v>10</v>
      </c>
      <c r="O10" s="62">
        <v>10</v>
      </c>
      <c r="P10" s="62">
        <v>1</v>
      </c>
      <c r="Q10" s="62">
        <v>1</v>
      </c>
      <c r="R10" s="62">
        <v>5</v>
      </c>
      <c r="S10" s="62">
        <v>4.2</v>
      </c>
      <c r="T10" s="62">
        <v>3.7</v>
      </c>
      <c r="U10" s="62">
        <v>1</v>
      </c>
      <c r="V10" s="62">
        <v>1</v>
      </c>
      <c r="W10" s="62">
        <v>1</v>
      </c>
    </row>
    <row r="11" spans="2:24" ht="18.95" customHeight="1" x14ac:dyDescent="0.2">
      <c r="B11" s="209"/>
      <c r="C11" s="209"/>
      <c r="D11" s="45"/>
      <c r="E11" s="209" t="s">
        <v>170</v>
      </c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</row>
    <row r="12" spans="2:24" ht="18.95" customHeight="1" x14ac:dyDescent="0.2">
      <c r="B12" s="203" t="s">
        <v>374</v>
      </c>
      <c r="C12" s="203" t="str">
        <f>SEC_Processes!E27</f>
        <v>Reverse flow MV to HV</v>
      </c>
      <c r="D12" s="61" t="s">
        <v>41</v>
      </c>
      <c r="E12" s="61" t="s">
        <v>159</v>
      </c>
      <c r="F12" s="62">
        <v>0.98</v>
      </c>
      <c r="G12" s="62">
        <v>0.5</v>
      </c>
      <c r="H12" s="62">
        <v>1</v>
      </c>
      <c r="I12" s="62">
        <v>31.536000000000001</v>
      </c>
      <c r="J12" s="62">
        <v>30</v>
      </c>
      <c r="K12" s="62">
        <v>30</v>
      </c>
      <c r="L12" s="62">
        <v>30</v>
      </c>
      <c r="M12" s="62">
        <v>30</v>
      </c>
      <c r="N12" s="62">
        <v>30</v>
      </c>
      <c r="O12" s="62">
        <v>30</v>
      </c>
      <c r="P12" s="62"/>
      <c r="Q12" s="62"/>
      <c r="R12" s="62"/>
      <c r="S12" s="62"/>
      <c r="T12" s="62"/>
      <c r="U12" s="62"/>
      <c r="V12" s="62"/>
      <c r="W12" s="62"/>
    </row>
    <row r="13" spans="2:24" ht="18.95" customHeight="1" x14ac:dyDescent="0.2">
      <c r="B13" s="209" t="s">
        <v>376</v>
      </c>
      <c r="C13" s="209" t="str">
        <f>SEC_Processes!E28</f>
        <v>Reverse flow LV to MV</v>
      </c>
      <c r="D13" s="209" t="s">
        <v>42</v>
      </c>
      <c r="E13" s="46" t="s">
        <v>41</v>
      </c>
      <c r="F13" s="209">
        <v>0.98</v>
      </c>
      <c r="G13" s="209">
        <v>0.5</v>
      </c>
      <c r="H13" s="209">
        <v>1</v>
      </c>
      <c r="I13" s="209">
        <v>31.536000000000001</v>
      </c>
      <c r="J13" s="209">
        <v>30</v>
      </c>
      <c r="K13" s="209">
        <v>30</v>
      </c>
      <c r="L13" s="209">
        <v>30</v>
      </c>
      <c r="M13" s="209">
        <v>30</v>
      </c>
      <c r="N13" s="209">
        <v>30</v>
      </c>
      <c r="O13" s="209">
        <v>30</v>
      </c>
      <c r="P13" s="209"/>
      <c r="Q13" s="209"/>
      <c r="R13" s="209"/>
      <c r="S13" s="209"/>
      <c r="T13" s="209"/>
      <c r="U13" s="209"/>
      <c r="V13" s="209"/>
      <c r="W13" s="209"/>
    </row>
    <row r="14" spans="2:24" x14ac:dyDescent="0.2">
      <c r="E14" s="23"/>
      <c r="F14" s="23"/>
      <c r="G14" s="23"/>
      <c r="H14" s="23"/>
    </row>
    <row r="18" spans="4:8" x14ac:dyDescent="0.2">
      <c r="F18" s="158"/>
      <c r="G18" s="158"/>
      <c r="H18" s="158"/>
    </row>
    <row r="19" spans="4:8" x14ac:dyDescent="0.2">
      <c r="F19" s="158"/>
      <c r="G19" s="158"/>
      <c r="H19" s="158"/>
    </row>
    <row r="20" spans="4:8" x14ac:dyDescent="0.2">
      <c r="F20" s="159"/>
      <c r="G20" s="159"/>
      <c r="H20" s="159"/>
    </row>
    <row r="28" spans="4:8" x14ac:dyDescent="0.2">
      <c r="D28">
        <v>100</v>
      </c>
    </row>
    <row r="29" spans="4:8" x14ac:dyDescent="0.2">
      <c r="D29">
        <f>D28/F7</f>
        <v>106.38297872340426</v>
      </c>
    </row>
    <row r="30" spans="4:8" x14ac:dyDescent="0.2">
      <c r="D30">
        <f>D29+G7</f>
        <v>111.88297872340426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14"/>
  <sheetViews>
    <sheetView workbookViewId="0">
      <selection activeCell="F1" sqref="F1:F1048576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7" max="7" width="11.140625" customWidth="1"/>
    <col min="8" max="8" width="12" customWidth="1"/>
    <col min="9" max="9" width="12.140625" customWidth="1"/>
    <col min="10" max="10" width="11.85546875" customWidth="1"/>
  </cols>
  <sheetData>
    <row r="2" spans="2:20" ht="18" customHeight="1" x14ac:dyDescent="0.25">
      <c r="B2" s="145" t="s">
        <v>315</v>
      </c>
      <c r="C2" s="146"/>
      <c r="D2" s="146"/>
      <c r="E2" s="146"/>
      <c r="F2" s="146"/>
      <c r="G2" s="146"/>
      <c r="H2" s="146"/>
      <c r="I2" s="146"/>
      <c r="J2" s="146"/>
    </row>
    <row r="4" spans="2:20" x14ac:dyDescent="0.2">
      <c r="E4" s="147" t="s">
        <v>1</v>
      </c>
      <c r="F4" s="147"/>
      <c r="G4" s="147"/>
      <c r="H4" s="147"/>
      <c r="I4" s="147"/>
      <c r="J4" s="147"/>
    </row>
    <row r="5" spans="2:20" ht="25.5" customHeight="1" x14ac:dyDescent="0.2">
      <c r="B5" s="148" t="s">
        <v>2</v>
      </c>
      <c r="C5" s="148" t="s">
        <v>3</v>
      </c>
      <c r="D5" s="148" t="s">
        <v>4</v>
      </c>
      <c r="E5" s="148" t="s">
        <v>5</v>
      </c>
      <c r="F5" s="148" t="s">
        <v>16</v>
      </c>
      <c r="G5" s="150" t="s">
        <v>316</v>
      </c>
      <c r="H5" s="150" t="s">
        <v>317</v>
      </c>
      <c r="I5" s="150" t="s">
        <v>318</v>
      </c>
      <c r="J5" s="150" t="s">
        <v>319</v>
      </c>
      <c r="K5" s="148" t="s">
        <v>293</v>
      </c>
      <c r="L5" s="148" t="s">
        <v>320</v>
      </c>
      <c r="M5" s="148" t="s">
        <v>321</v>
      </c>
      <c r="N5" s="155" t="s">
        <v>322</v>
      </c>
      <c r="O5" s="155" t="s">
        <v>323</v>
      </c>
      <c r="P5" s="155" t="s">
        <v>324</v>
      </c>
      <c r="Q5" s="155" t="s">
        <v>325</v>
      </c>
      <c r="R5" s="155" t="s">
        <v>326</v>
      </c>
      <c r="S5" s="155" t="s">
        <v>327</v>
      </c>
      <c r="T5" s="155" t="s">
        <v>328</v>
      </c>
    </row>
    <row r="6" spans="2:20" ht="13.5" customHeight="1" thickBot="1" x14ac:dyDescent="0.25">
      <c r="B6" s="151" t="s">
        <v>175</v>
      </c>
      <c r="C6" s="151"/>
      <c r="D6" s="151"/>
      <c r="E6" s="152"/>
      <c r="F6" s="152"/>
      <c r="G6" s="152"/>
      <c r="H6" s="152"/>
      <c r="I6" s="152"/>
      <c r="J6" s="152"/>
      <c r="K6" s="151" t="s">
        <v>329</v>
      </c>
      <c r="L6" s="151" t="s">
        <v>330</v>
      </c>
      <c r="M6" s="151" t="s">
        <v>331</v>
      </c>
      <c r="N6" s="151"/>
      <c r="O6" s="151"/>
      <c r="P6" s="151"/>
      <c r="Q6" s="151"/>
      <c r="R6" s="151"/>
      <c r="S6" s="151"/>
      <c r="T6" s="151"/>
    </row>
    <row r="7" spans="2:20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1</v>
      </c>
      <c r="G7" s="12">
        <v>0.5</v>
      </c>
      <c r="H7" s="12">
        <v>0.5</v>
      </c>
      <c r="I7" s="12">
        <v>1</v>
      </c>
      <c r="J7" s="12">
        <v>1</v>
      </c>
      <c r="K7" s="12">
        <v>31.536000000000001</v>
      </c>
      <c r="L7" s="10">
        <v>1</v>
      </c>
      <c r="M7" s="157">
        <v>30</v>
      </c>
      <c r="N7" s="12"/>
      <c r="O7" s="12"/>
      <c r="P7" s="12"/>
      <c r="Q7" s="12"/>
      <c r="R7" s="12"/>
      <c r="S7" s="12"/>
      <c r="T7" s="12"/>
    </row>
    <row r="8" spans="2:20" ht="13.5" customHeight="1" thickBot="1" x14ac:dyDescent="0.25"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</row>
    <row r="11" spans="2:20" x14ac:dyDescent="0.2">
      <c r="G11" t="s">
        <v>332</v>
      </c>
      <c r="J11">
        <f>G7*K7</f>
        <v>15.768000000000001</v>
      </c>
      <c r="K11" t="s">
        <v>248</v>
      </c>
    </row>
    <row r="12" spans="2:20" x14ac:dyDescent="0.2">
      <c r="J12">
        <f>J11/3.6</f>
        <v>4.38</v>
      </c>
      <c r="K12" t="s">
        <v>333</v>
      </c>
    </row>
    <row r="13" spans="2:20" x14ac:dyDescent="0.2">
      <c r="G13" t="s">
        <v>334</v>
      </c>
      <c r="J13">
        <v>2</v>
      </c>
    </row>
    <row r="14" spans="2:20" x14ac:dyDescent="0.2">
      <c r="G14" t="s">
        <v>335</v>
      </c>
      <c r="J14">
        <f>J13/J12</f>
        <v>0.45662100456621008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U17"/>
  <sheetViews>
    <sheetView tabSelected="1" workbookViewId="0">
      <selection activeCell="Q21" sqref="Q21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7" max="7" width="16" customWidth="1"/>
    <col min="8" max="8" width="13.85546875" customWidth="1"/>
    <col min="9" max="10" width="12.140625" customWidth="1"/>
    <col min="11" max="11" width="13" customWidth="1"/>
    <col min="12" max="12" width="11.28515625" customWidth="1"/>
  </cols>
  <sheetData>
    <row r="4" spans="2:21" x14ac:dyDescent="0.2">
      <c r="E4" s="147" t="s">
        <v>1</v>
      </c>
      <c r="F4" s="147"/>
      <c r="G4" s="147"/>
      <c r="H4" s="147"/>
      <c r="I4" s="147"/>
      <c r="J4" s="147"/>
      <c r="K4" s="147"/>
    </row>
    <row r="5" spans="2:21" ht="25.5" customHeight="1" x14ac:dyDescent="0.2">
      <c r="B5" s="148" t="s">
        <v>2</v>
      </c>
      <c r="C5" s="148" t="s">
        <v>3</v>
      </c>
      <c r="D5" s="148" t="s">
        <v>4</v>
      </c>
      <c r="E5" s="148" t="s">
        <v>5</v>
      </c>
      <c r="F5" s="148" t="s">
        <v>16</v>
      </c>
      <c r="G5" s="150" t="s">
        <v>316</v>
      </c>
      <c r="H5" s="150" t="s">
        <v>317</v>
      </c>
      <c r="I5" s="150" t="s">
        <v>318</v>
      </c>
      <c r="J5" s="150" t="s">
        <v>336</v>
      </c>
      <c r="K5" s="150" t="s">
        <v>319</v>
      </c>
      <c r="L5" s="148" t="s">
        <v>293</v>
      </c>
      <c r="M5" s="148" t="s">
        <v>320</v>
      </c>
      <c r="N5" s="148" t="s">
        <v>321</v>
      </c>
      <c r="O5" s="155" t="s">
        <v>322</v>
      </c>
      <c r="P5" s="155" t="s">
        <v>323</v>
      </c>
      <c r="Q5" s="155" t="s">
        <v>324</v>
      </c>
      <c r="R5" s="155" t="s">
        <v>325</v>
      </c>
      <c r="S5" s="155" t="s">
        <v>326</v>
      </c>
      <c r="T5" s="155" t="s">
        <v>327</v>
      </c>
      <c r="U5" s="155" t="s">
        <v>328</v>
      </c>
    </row>
    <row r="6" spans="2:21" ht="13.5" customHeight="1" thickBot="1" x14ac:dyDescent="0.25">
      <c r="B6" s="151" t="s">
        <v>175</v>
      </c>
      <c r="C6" s="151"/>
      <c r="D6" s="151"/>
      <c r="E6" s="152"/>
      <c r="F6" s="152"/>
      <c r="G6" s="152" t="s">
        <v>108</v>
      </c>
      <c r="H6" s="152" t="s">
        <v>108</v>
      </c>
      <c r="I6" s="152" t="s">
        <v>108</v>
      </c>
      <c r="J6" s="152"/>
      <c r="K6" s="152"/>
      <c r="L6" s="151" t="s">
        <v>329</v>
      </c>
      <c r="M6" s="151" t="s">
        <v>330</v>
      </c>
      <c r="N6" s="151" t="s">
        <v>331</v>
      </c>
      <c r="O6" s="151" t="s">
        <v>206</v>
      </c>
      <c r="P6" s="151" t="s">
        <v>206</v>
      </c>
      <c r="Q6" s="151" t="s">
        <v>206</v>
      </c>
      <c r="R6" s="151" t="s">
        <v>206</v>
      </c>
      <c r="S6" s="151" t="s">
        <v>206</v>
      </c>
      <c r="T6" s="151" t="s">
        <v>206</v>
      </c>
      <c r="U6" s="151" t="s">
        <v>206</v>
      </c>
    </row>
    <row r="7" spans="2:21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3900</v>
      </c>
      <c r="H7" s="12">
        <v>3900</v>
      </c>
      <c r="I7" s="12">
        <v>1900</v>
      </c>
      <c r="J7" s="12">
        <v>0</v>
      </c>
      <c r="K7" s="12">
        <v>0</v>
      </c>
      <c r="L7" s="12">
        <v>31.536000000000001</v>
      </c>
      <c r="M7" s="10">
        <v>1</v>
      </c>
      <c r="N7" s="157">
        <v>30</v>
      </c>
      <c r="O7" s="12"/>
      <c r="P7" s="12"/>
      <c r="Q7" s="12"/>
      <c r="R7" s="12">
        <v>0.4</v>
      </c>
      <c r="S7" s="12">
        <v>0.4</v>
      </c>
      <c r="T7" s="12">
        <v>0.4</v>
      </c>
      <c r="U7" s="12">
        <v>0.4</v>
      </c>
    </row>
    <row r="8" spans="2:21" ht="13.5" customHeight="1" thickBot="1" x14ac:dyDescent="0.25"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</row>
    <row r="15" spans="2:21" x14ac:dyDescent="0.2">
      <c r="C15" t="s">
        <v>337</v>
      </c>
      <c r="D15" t="s">
        <v>62</v>
      </c>
      <c r="H15" t="s">
        <v>338</v>
      </c>
      <c r="I15" t="s">
        <v>62</v>
      </c>
    </row>
    <row r="16" spans="2:21" x14ac:dyDescent="0.2">
      <c r="C16">
        <v>1</v>
      </c>
      <c r="D16">
        <v>3.6</v>
      </c>
    </row>
    <row r="17" spans="8:9" x14ac:dyDescent="0.2">
      <c r="H17">
        <v>3.9</v>
      </c>
      <c r="I17">
        <f>H17*D16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customHeight="1" x14ac:dyDescent="0.25">
      <c r="B2" s="145" t="s">
        <v>315</v>
      </c>
      <c r="C2" s="146"/>
      <c r="D2" s="146"/>
      <c r="E2" s="146"/>
      <c r="F2" s="146"/>
    </row>
    <row r="4" spans="2:21" x14ac:dyDescent="0.2">
      <c r="E4" s="147" t="s">
        <v>1</v>
      </c>
    </row>
    <row r="5" spans="2:21" ht="38.25" customHeight="1" x14ac:dyDescent="0.2">
      <c r="B5" s="148" t="s">
        <v>2</v>
      </c>
      <c r="C5" s="148" t="s">
        <v>3</v>
      </c>
      <c r="D5" s="148" t="s">
        <v>4</v>
      </c>
      <c r="E5" s="148" t="s">
        <v>5</v>
      </c>
      <c r="F5" s="149" t="s">
        <v>339</v>
      </c>
      <c r="G5" s="154" t="s">
        <v>340</v>
      </c>
      <c r="H5" s="150" t="s">
        <v>341</v>
      </c>
      <c r="I5" s="150" t="s">
        <v>317</v>
      </c>
      <c r="J5" s="150" t="s">
        <v>318</v>
      </c>
      <c r="K5" s="150" t="s">
        <v>342</v>
      </c>
      <c r="L5" s="150" t="s">
        <v>336</v>
      </c>
      <c r="M5" s="150" t="s">
        <v>343</v>
      </c>
      <c r="N5" s="150" t="s">
        <v>319</v>
      </c>
      <c r="O5" s="148" t="s">
        <v>293</v>
      </c>
      <c r="P5" s="148" t="s">
        <v>320</v>
      </c>
      <c r="Q5" s="148" t="s">
        <v>344</v>
      </c>
      <c r="R5" s="148" t="s">
        <v>17</v>
      </c>
      <c r="S5" s="148" t="s">
        <v>18</v>
      </c>
      <c r="T5" s="155" t="s">
        <v>345</v>
      </c>
      <c r="U5" s="156" t="s">
        <v>346</v>
      </c>
    </row>
    <row r="6" spans="2:21" ht="13.5" customHeight="1" thickBot="1" x14ac:dyDescent="0.25">
      <c r="B6" s="151" t="s">
        <v>175</v>
      </c>
      <c r="C6" s="151"/>
      <c r="D6" s="151"/>
      <c r="E6" s="152"/>
      <c r="F6" s="152"/>
      <c r="G6" s="151" t="s">
        <v>330</v>
      </c>
      <c r="H6" s="151" t="s">
        <v>206</v>
      </c>
      <c r="I6" s="151" t="s">
        <v>206</v>
      </c>
      <c r="J6" s="151" t="s">
        <v>206</v>
      </c>
      <c r="K6" s="151" t="s">
        <v>206</v>
      </c>
      <c r="L6" s="151" t="s">
        <v>206</v>
      </c>
      <c r="M6" s="151" t="s">
        <v>206</v>
      </c>
      <c r="N6" s="151" t="s">
        <v>206</v>
      </c>
      <c r="O6" s="151" t="s">
        <v>329</v>
      </c>
      <c r="P6" s="151" t="s">
        <v>330</v>
      </c>
      <c r="Q6" s="151" t="s">
        <v>347</v>
      </c>
      <c r="R6" s="151" t="s">
        <v>348</v>
      </c>
      <c r="S6" s="151" t="s">
        <v>349</v>
      </c>
      <c r="T6" s="151"/>
      <c r="U6" s="151"/>
    </row>
    <row r="7" spans="2:21" x14ac:dyDescent="0.2">
      <c r="B7" s="12" t="str">
        <f>SEC_Processes!D20</f>
        <v>ELE_EX_HIDRO_STORAGE_PUMP</v>
      </c>
      <c r="C7" s="12" t="s">
        <v>350</v>
      </c>
      <c r="D7" s="12" t="s">
        <v>159</v>
      </c>
      <c r="E7" s="12" t="s">
        <v>159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59</v>
      </c>
      <c r="U7" s="12">
        <v>1</v>
      </c>
    </row>
    <row r="8" spans="2:21" ht="13.5" customHeight="1" thickBot="1" x14ac:dyDescent="0.25"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 t="s">
        <v>351</v>
      </c>
      <c r="U8" s="153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Arkusz8"/>
  <dimension ref="B2:I11"/>
  <sheetViews>
    <sheetView zoomScale="115" zoomScaleNormal="115" workbookViewId="0">
      <selection activeCell="G10" sqref="G10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customHeight="1" x14ac:dyDescent="0.2">
      <c r="B2" s="59" t="s">
        <v>352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353</v>
      </c>
      <c r="D4" s="40"/>
      <c r="E4" s="40"/>
      <c r="F4" s="40"/>
      <c r="G4" s="40"/>
    </row>
    <row r="5" spans="2:9" ht="15.75" customHeight="1" x14ac:dyDescent="0.2">
      <c r="B5" s="106" t="s">
        <v>2</v>
      </c>
      <c r="C5" s="106" t="s">
        <v>45</v>
      </c>
      <c r="D5" s="106" t="s">
        <v>60</v>
      </c>
      <c r="E5" s="106" t="s">
        <v>65</v>
      </c>
      <c r="F5" s="106" t="s">
        <v>80</v>
      </c>
      <c r="G5" s="106" t="s">
        <v>63</v>
      </c>
      <c r="I5" s="98" t="s">
        <v>354</v>
      </c>
    </row>
    <row r="6" spans="2:9" ht="38.25" customHeight="1" x14ac:dyDescent="0.2">
      <c r="B6" s="187" t="s">
        <v>19</v>
      </c>
      <c r="C6" s="187" t="s">
        <v>355</v>
      </c>
      <c r="D6" s="227" t="s">
        <v>356</v>
      </c>
      <c r="E6" s="228"/>
      <c r="F6" s="228"/>
      <c r="G6" s="228"/>
    </row>
    <row r="7" spans="2:9" ht="15.75" customHeight="1" x14ac:dyDescent="0.2">
      <c r="B7" s="185" t="str">
        <f>SEC_Processes!D15</f>
        <v>ELE_EX_HC</v>
      </c>
      <c r="C7" s="184" t="s">
        <v>173</v>
      </c>
      <c r="D7" s="175">
        <v>96</v>
      </c>
      <c r="E7" s="186"/>
      <c r="F7" s="186"/>
      <c r="G7" s="186"/>
    </row>
    <row r="8" spans="2:9" ht="15.75" customHeight="1" x14ac:dyDescent="0.2">
      <c r="B8" s="170" t="str">
        <f>SEC_Processes!D16</f>
        <v>ELE_EX_OILGAS</v>
      </c>
      <c r="C8" s="184" t="s">
        <v>173</v>
      </c>
      <c r="D8" s="171"/>
      <c r="E8" s="171">
        <v>112</v>
      </c>
      <c r="F8" s="171"/>
      <c r="G8" s="171"/>
    </row>
    <row r="9" spans="2:9" ht="15.75" customHeight="1" x14ac:dyDescent="0.2">
      <c r="B9" s="188" t="str">
        <f>SEC_Processes!D29</f>
        <v>REFINARY</v>
      </c>
      <c r="C9" s="191" t="s">
        <v>173</v>
      </c>
      <c r="D9" s="189"/>
      <c r="E9" s="189"/>
      <c r="F9" s="189"/>
      <c r="G9" s="190">
        <v>8.3000000000000007</v>
      </c>
    </row>
    <row r="10" spans="2:9" ht="15.75" customHeight="1" x14ac:dyDescent="0.2"/>
    <row r="11" spans="2:9" ht="15.75" customHeight="1" x14ac:dyDescent="0.2"/>
  </sheetData>
  <mergeCells count="1">
    <mergeCell ref="D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O6"/>
  <sheetViews>
    <sheetView workbookViewId="0">
      <selection activeCell="F25" sqref="F25"/>
    </sheetView>
  </sheetViews>
  <sheetFormatPr defaultRowHeight="12.75" x14ac:dyDescent="0.2"/>
  <sheetData>
    <row r="2" spans="2:15" x14ac:dyDescent="0.2">
      <c r="C2" t="s">
        <v>357</v>
      </c>
    </row>
    <row r="4" spans="2:15" x14ac:dyDescent="0.2">
      <c r="B4" s="36" t="s">
        <v>358</v>
      </c>
    </row>
    <row r="5" spans="2:15" x14ac:dyDescent="0.2">
      <c r="B5" s="106" t="s">
        <v>359</v>
      </c>
      <c r="C5" s="106" t="s">
        <v>48</v>
      </c>
      <c r="D5" s="106" t="s">
        <v>360</v>
      </c>
      <c r="E5" s="106" t="s">
        <v>285</v>
      </c>
      <c r="F5" s="106" t="s">
        <v>361</v>
      </c>
      <c r="G5" s="106" t="s">
        <v>362</v>
      </c>
      <c r="H5" s="106" t="s">
        <v>363</v>
      </c>
      <c r="I5" s="106" t="s">
        <v>364</v>
      </c>
      <c r="J5" s="106" t="s">
        <v>365</v>
      </c>
      <c r="K5" s="106" t="s">
        <v>366</v>
      </c>
      <c r="L5" s="106" t="s">
        <v>367</v>
      </c>
      <c r="M5" s="106" t="s">
        <v>368</v>
      </c>
      <c r="N5" s="106" t="s">
        <v>369</v>
      </c>
      <c r="O5" s="106" t="s">
        <v>370</v>
      </c>
    </row>
    <row r="6" spans="2:15" x14ac:dyDescent="0.2">
      <c r="B6" s="205"/>
      <c r="C6" s="206" t="s">
        <v>371</v>
      </c>
      <c r="D6" s="207" t="s">
        <v>372</v>
      </c>
      <c r="E6" s="208"/>
      <c r="F6" s="208">
        <v>2</v>
      </c>
      <c r="G6" s="208"/>
      <c r="H6" s="205"/>
      <c r="I6" s="206" t="s">
        <v>373</v>
      </c>
      <c r="J6" s="207"/>
      <c r="K6" s="208"/>
      <c r="L6" s="208"/>
      <c r="M6" s="208"/>
      <c r="N6" s="205"/>
      <c r="O6" s="20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  <vt:lpstr>IMPNRGZ_BND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Pier Luca Maria Buonomo</cp:lastModifiedBy>
  <dcterms:created xsi:type="dcterms:W3CDTF">2000-12-13T15:53:11Z</dcterms:created>
  <dcterms:modified xsi:type="dcterms:W3CDTF">2026-10-07T09:10:01Z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