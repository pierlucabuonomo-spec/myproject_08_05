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BALANCE" sheetId="1" state="visible" r:id="rId3"/>
    <sheet name="TOPOLOGY" sheetId="2" state="visible" r:id="rId4"/>
    <sheet name="SEC_Comm" sheetId="3" state="visible" r:id="rId5"/>
    <sheet name="SEC_Processes" sheetId="4" state="visible" r:id="rId6"/>
    <sheet name="REF" sheetId="5" state="visible" r:id="rId7"/>
    <sheet name="PP" sheetId="6" state="visible" r:id="rId8"/>
    <sheet name="RES" sheetId="7" state="visible" r:id="rId9"/>
    <sheet name="T&amp;D" sheetId="8" state="visible" r:id="rId10"/>
    <sheet name="IMP" sheetId="9" state="visible" r:id="rId11"/>
    <sheet name="EXP" sheetId="10" state="visible" r:id="rId12"/>
    <sheet name="STG" sheetId="11" state="visible" r:id="rId13"/>
    <sheet name="EMI" sheetId="12" state="visible" r:id="rId14"/>
    <sheet name="IMPNRGZ_BND" sheetId="13" state="visible" r:id="rId15"/>
  </sheets>
  <definedNames>
    <definedName function="false" hidden="false" name="_Order1" vbProcedure="false">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Csets declarations are inherited until the next one is encountered.
Allowed Cset:
NRG (Energy)
ENV (Emission)
DEM (Demand)
MAT (Material)
FIN (Financial)</t>
        </r>
      </text>
    </comment>
    <comment ref="F5" authorId="0">
      <text>
        <r>
          <rPr>
            <sz val="10"/>
            <rFont val="Arial"/>
            <family val="2"/>
          </rPr>
          <t xml:space="preserve">Amit Kanudia:
LO for PRODUCTION &gt;= CONSUMPTION (Default)
FX for PRODUCTION = CONSUMPTION
UP for PRODUCTION &lt;= CONSUMPTION</t>
        </r>
      </text>
    </comment>
    <comment ref="F20" authorId="0">
      <text>
        <r>
          <rPr>
            <sz val="10"/>
            <rFont val="Arial"/>
            <family val="2"/>
          </rPr>
          <t xml:space="preserve">Amit Kanudia:
LO for PRODUCTION &gt;= CONSUMPTION (Default)
FX for PRODUCTION = CONSUMPTION
UP for PRODUCTION &lt;= CONSUMPTION</t>
        </r>
      </text>
    </comment>
    <comment ref="G5" authorId="0">
      <text>
        <r>
          <rPr>
            <sz val="10"/>
            <rFont val="Arial"/>
            <family val="2"/>
          </rPr>
          <t xml:space="preserve">Allowed CTSLvl
SEASON (Seasonal level)
WEEKLY (Weekly level)
DAYNITE (day and night level)</t>
        </r>
      </text>
    </comment>
    <comment ref="G20" authorId="0">
      <text>
        <r>
          <rPr>
            <sz val="10"/>
            <rFont val="Arial"/>
            <family val="2"/>
          </rPr>
          <t xml:space="preserve">Allowed CTSLvl
SEASON (Seasonal level)
WEEKLY (Weekly level)
DAYNITE (day and night level)</t>
        </r>
      </text>
    </comment>
    <comment ref="H5" authorId="0">
      <text>
        <r>
          <rPr>
            <sz val="10"/>
            <rFont val="Arial"/>
            <family val="2"/>
          </rPr>
          <t xml:space="preserve">Allowed PeakTS
ANNUAL (to generate Peak Equation for all the TimeSlices)
User TS (to generate Peak Equation for a single TS)</t>
        </r>
      </text>
    </comment>
    <comment ref="H20" authorId="0">
      <text>
        <r>
          <rPr>
            <sz val="10"/>
            <rFont val="Arial"/>
            <family val="2"/>
          </rPr>
          <t xml:space="preserve">Allowed PeakTS
ANNUAL (to generate Peak Equation for all the TimeSlices)
User TS (to generate Peak Equation for a single TS)</t>
        </r>
      </text>
    </comment>
    <comment ref="I5" authorId="0">
      <text>
        <r>
          <rPr>
            <sz val="10"/>
            <rFont val="Arial"/>
            <family val="2"/>
          </rPr>
          <t xml:space="preserve">Allowed Ctype
ELC (Electricity)</t>
        </r>
      </text>
    </comment>
    <comment ref="I20" authorId="0">
      <text>
        <r>
          <rPr>
            <sz val="10"/>
            <rFont val="Arial"/>
            <family val="2"/>
          </rPr>
          <t xml:space="preserve">Allowed Ctype
ELC (Electricity)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Allowed TsLvl
ANNUAL (Annual level)
SEASON (Seasonal level)
WEEKLY (Weekly level)
DAYNITE (day and night level)</t>
        </r>
      </text>
    </comment>
    <comment ref="I5" authorId="0">
      <text>
        <r>
          <rPr>
            <sz val="10"/>
            <rFont val="Arial"/>
            <family val="2"/>
          </rPr>
          <t xml:space="preserve">Amit Kanudia:
Needed only when one wants to override the VEDA default assignment
</t>
        </r>
      </text>
    </comment>
    <comment ref="J5" authorId="0">
      <text>
        <r>
          <rPr>
            <sz val="10"/>
            <rFont val="Arial"/>
            <family val="2"/>
          </rPr>
          <t xml:space="preserve">Allowed Vintage
NO (if empty by default mean NO)
YES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With this character *, this column is ignored from VEDA.
It is just useful for your information</t>
        </r>
      </text>
    </comment>
    <comment ref="C15" authorId="0">
      <text>
        <r>
          <rPr>
            <sz val="10"/>
            <rFont val="Arial"/>
            <family val="2"/>
          </rPr>
          <t xml:space="preserve">With this character *, this column is ignored from VEDA.
It is just useful for your information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2" authorId="0">
      <text>
        <r>
          <rPr>
            <sz val="10"/>
            <rFont val="Arial"/>
            <family val="2"/>
          </rPr>
          <t xml:space="preserve">Csets declarations are inherited until the next one is encountered.
Allowed Cset:
NRG (Energy)
ENV (Emission)
DEM (Demand)
MAT (Material)
FIN (Financial)</t>
        </r>
      </text>
    </comment>
    <comment ref="C5" authorId="0">
      <text>
        <r>
          <rPr>
            <sz val="10"/>
            <rFont val="Arial"/>
            <family val="2"/>
          </rPr>
          <t xml:space="preserve">With this character *, this column is ignored from VEDA.
It is just useful for your information</t>
        </r>
      </text>
    </comment>
    <comment ref="F22" authorId="0">
      <text>
        <r>
          <rPr>
            <sz val="10"/>
            <rFont val="Arial"/>
            <family val="2"/>
          </rPr>
          <t xml:space="preserve">Amit Kanudia:
LO for PRODUCTION &gt;= CONSUMPTION (Default)
FX for PRODUCTION = CONSUMPTION
UP for PRODUCTION &lt;= CONSUMPTION</t>
        </r>
      </text>
    </comment>
    <comment ref="G22" authorId="0">
      <text>
        <r>
          <rPr>
            <sz val="10"/>
            <rFont val="Arial"/>
            <family val="2"/>
          </rPr>
          <t xml:space="preserve">Allowed CTSLvl
SEASON (Seasonal level)
WEEKLY (Weekly level)
DAYNITE (day and night level)</t>
        </r>
      </text>
    </comment>
    <comment ref="H22" authorId="0">
      <text>
        <r>
          <rPr>
            <sz val="10"/>
            <rFont val="Arial"/>
            <family val="2"/>
          </rPr>
          <t xml:space="preserve">Allowed PeakTS
ANNUAL (to generate Peak Equation for all the TimeSlices)
User TS (to generate Peak Equation for a single TS)</t>
        </r>
      </text>
    </comment>
    <comment ref="I22" authorId="0">
      <text>
        <r>
          <rPr>
            <sz val="10"/>
            <rFont val="Arial"/>
            <family val="2"/>
          </rPr>
          <t xml:space="preserve">Allowed Ctype
ELC (Electricity)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<sst xmlns="http://schemas.openxmlformats.org/spreadsheetml/2006/main" count="938" uniqueCount="386">
  <si>
    <t xml:space="preserve">* Energy Balance / Bilans energii</t>
  </si>
  <si>
    <t xml:space="preserve">Table 1: Simple energy balance of Sardinia energy system in 2023</t>
  </si>
  <si>
    <t xml:space="preserve">Type of generating unit</t>
  </si>
  <si>
    <t xml:space="preserve">Generation unit type</t>
  </si>
  <si>
    <t xml:space="preserve">Moc osiągalna elektryczna netto</t>
  </si>
  <si>
    <t xml:space="preserve">Produkcja energii elektrycznej netto</t>
  </si>
  <si>
    <t xml:space="preserve">Produkcja ciepła netto</t>
  </si>
  <si>
    <t xml:space="preserve">Zużycie paliwa</t>
  </si>
  <si>
    <t xml:space="preserve">Średnia
wartość
opałowa</t>
  </si>
  <si>
    <t xml:space="preserve">Net Electric Power</t>
  </si>
  <si>
    <t xml:space="preserve">Net electricity generation</t>
  </si>
  <si>
    <t xml:space="preserve">Net heat generation</t>
  </si>
  <si>
    <t xml:space="preserve">Fuel used</t>
  </si>
  <si>
    <t xml:space="preserve">Average lower heating valuee</t>
  </si>
  <si>
    <t xml:space="preserve">MW</t>
  </si>
  <si>
    <t xml:space="preserve">GWh</t>
  </si>
  <si>
    <t xml:space="preserve">TJ</t>
  </si>
  <si>
    <t xml:space="preserve">kt</t>
  </si>
  <si>
    <t xml:space="preserve">kJ/kg</t>
  </si>
  <si>
    <t xml:space="preserve">mln m3</t>
  </si>
  <si>
    <t xml:space="preserve">kJ/m3</t>
  </si>
  <si>
    <t xml:space="preserve">Hard coal-fired power plant1</t>
  </si>
  <si>
    <t xml:space="preserve">Hard coal fired Electricity only power plant</t>
  </si>
  <si>
    <t xml:space="preserve">Oil waste power plant1</t>
  </si>
  <si>
    <t xml:space="preserve">Syngas fired Electicity only power plant</t>
  </si>
  <si>
    <t xml:space="preserve">Biomass power plant1</t>
  </si>
  <si>
    <t xml:space="preserve">Biomass fired Heat only plants</t>
  </si>
  <si>
    <t xml:space="preserve">Hidro</t>
  </si>
  <si>
    <t xml:space="preserve">Hidro pump only power plant</t>
  </si>
  <si>
    <t xml:space="preserve">Hidro_Run</t>
  </si>
  <si>
    <t xml:space="preserve">Hidro run of river </t>
  </si>
  <si>
    <t xml:space="preserve">Wind On Shore power plants</t>
  </si>
  <si>
    <t xml:space="preserve">Onshore Wind Turbines</t>
  </si>
  <si>
    <t xml:space="preserve">Solar power plants</t>
  </si>
  <si>
    <t xml:space="preserve">Large Scale Photovoltaics</t>
  </si>
  <si>
    <t xml:space="preserve">Together</t>
  </si>
  <si>
    <t xml:space="preserve">Total</t>
  </si>
  <si>
    <t xml:space="preserve">Source:</t>
  </si>
  <si>
    <t xml:space="preserve">1) energy balance Sardinia Region</t>
  </si>
  <si>
    <t xml:space="preserve">2) study based on data from Terna, the minister's oil bulletins, Istat and the GSE and RSE report (2023)</t>
  </si>
  <si>
    <t xml:space="preserve">3) EUROSTAT NRG_BAL, NRG_BAL_PEH.</t>
  </si>
  <si>
    <t xml:space="preserve">* Transmission &amp; Distribution Losses / Straty przesyłu i dystrybucji</t>
  </si>
  <si>
    <t xml:space="preserve">Tabela 2: Efficiency of Transmission and distribution of energy carriers in 2020</t>
  </si>
  <si>
    <t xml:space="preserve">Tabela 2: Sprawności przesyłu i transformacji nośników energii w sieci w 2020 r.</t>
  </si>
  <si>
    <t xml:space="preserve">Energy </t>
  </si>
  <si>
    <t xml:space="preserve">Energy carrier</t>
  </si>
  <si>
    <t xml:space="preserve">Przesył i transformacja</t>
  </si>
  <si>
    <t xml:space="preserve">Sprawność</t>
  </si>
  <si>
    <t xml:space="preserve">Transmission and distribution</t>
  </si>
  <si>
    <t xml:space="preserve">Efficiency</t>
  </si>
  <si>
    <t xml:space="preserve">Energia elektryczna</t>
  </si>
  <si>
    <t xml:space="preserve">Electricity</t>
  </si>
  <si>
    <t xml:space="preserve">WN-WN | HV-HV</t>
  </si>
  <si>
    <t xml:space="preserve">WN-SN | HV-MV</t>
  </si>
  <si>
    <t xml:space="preserve">SN-nn | MV-LV</t>
  </si>
  <si>
    <t xml:space="preserve">* Final Energy Demand / Popyt na energię finalną</t>
  </si>
  <si>
    <t xml:space="preserve">Table 3: Final energy demand in 2023</t>
  </si>
  <si>
    <t xml:space="preserve">Nośnik energii</t>
  </si>
  <si>
    <t xml:space="preserve">Jednostka</t>
  </si>
  <si>
    <t xml:space="preserve">Zapotrzebowanie końcowe</t>
  </si>
  <si>
    <t xml:space="preserve">Unit</t>
  </si>
  <si>
    <t xml:space="preserve">Final energy demand</t>
  </si>
  <si>
    <t xml:space="preserve">[TWh]</t>
  </si>
  <si>
    <t xml:space="preserve">Source / Źródło:</t>
  </si>
  <si>
    <t xml:space="preserve">1) opracowanie własne na podstawie "Statystyka Elektroenergetyki Polskiej 2020" - Ministerstwo Klimatu i Środowiska, Agencja Rynku Energii S.A., Warszawa 2021.</t>
  </si>
  <si>
    <t xml:space="preserve">2) opracowanie własne na podstawie "Energetyka Cieplna w Liczbach 2021" - Urząd Regulacji Energetyki, Warszawa 2022.</t>
  </si>
  <si>
    <t xml:space="preserve">Define Commodities</t>
  </si>
  <si>
    <t xml:space="preserve">~FI_Comm</t>
  </si>
  <si>
    <t xml:space="preserve">Csets</t>
  </si>
  <si>
    <t xml:space="preserve">CommName</t>
  </si>
  <si>
    <t xml:space="preserve">CommDesc</t>
  </si>
  <si>
    <t xml:space="preserve">LimType</t>
  </si>
  <si>
    <t xml:space="preserve">CTSLvl</t>
  </si>
  <si>
    <t xml:space="preserve">PeakTS</t>
  </si>
  <si>
    <t xml:space="preserve">Ctype</t>
  </si>
  <si>
    <t xml:space="preserve">\I: Commodity Set</t>
  </si>
  <si>
    <t xml:space="preserve">Commodity Name</t>
  </si>
  <si>
    <t xml:space="preserve">Commodity Description</t>
  </si>
  <si>
    <t xml:space="preserve">Sense of Balance Equation</t>
  </si>
  <si>
    <t xml:space="preserve">TimeSlice Level</t>
  </si>
  <si>
    <t xml:space="preserve">Peak Monitoring</t>
  </si>
  <si>
    <t xml:space="preserve">Electricity Indicator (for CHPs)</t>
  </si>
  <si>
    <t xml:space="preserve">NRG</t>
  </si>
  <si>
    <t xml:space="preserve">ELEC_HV</t>
  </si>
  <si>
    <t xml:space="preserve">High Voltage Electricity (&gt;110 kV)</t>
  </si>
  <si>
    <t xml:space="preserve">PJ</t>
  </si>
  <si>
    <t xml:space="preserve">DAYNITE</t>
  </si>
  <si>
    <t xml:space="preserve">ANNUAL</t>
  </si>
  <si>
    <t xml:space="preserve">ELC</t>
  </si>
  <si>
    <t xml:space="preserve">ELEC_MV</t>
  </si>
  <si>
    <t xml:space="preserve">Medium voltage Electricity (20 -60 kV)</t>
  </si>
  <si>
    <t xml:space="preserve">ELEC_LV</t>
  </si>
  <si>
    <t xml:space="preserve">Low Voltage Electricity (&lt; 1kV)</t>
  </si>
  <si>
    <t xml:space="preserve">ELEC_MV_GRID</t>
  </si>
  <si>
    <t xml:space="preserve">Grid medium voltage</t>
  </si>
  <si>
    <t xml:space="preserve">ELEC_LV_GRID</t>
  </si>
  <si>
    <t xml:space="preserve">Grid low voltage</t>
  </si>
  <si>
    <t xml:space="preserve">ELEC_LV_DIST</t>
  </si>
  <si>
    <t xml:space="preserve">Distribution Low Voltage Electricity (&lt; 1kV)</t>
  </si>
  <si>
    <t xml:space="preserve">ENV</t>
  </si>
  <si>
    <t xml:space="preserve">CO2</t>
  </si>
  <si>
    <t xml:space="preserve">Carbon Dioxide Emission</t>
  </si>
  <si>
    <t xml:space="preserve">\I:</t>
  </si>
  <si>
    <t xml:space="preserve">Copy from SUP</t>
  </si>
  <si>
    <t xml:space="preserve">No tag - won't be read by Veda</t>
  </si>
  <si>
    <t xml:space="preserve">SOLID</t>
  </si>
  <si>
    <t xml:space="preserve">Solid Fuels</t>
  </si>
  <si>
    <t xml:space="preserve">CRUDE_OIL</t>
  </si>
  <si>
    <t xml:space="preserve">Oil </t>
  </si>
  <si>
    <t xml:space="preserve">OILGAS</t>
  </si>
  <si>
    <t xml:space="preserve">Syngas_Res</t>
  </si>
  <si>
    <t xml:space="preserve">DIESEL</t>
  </si>
  <si>
    <t xml:space="preserve">Diesel</t>
  </si>
  <si>
    <t xml:space="preserve">GASOLINE</t>
  </si>
  <si>
    <t xml:space="preserve">Gasoline</t>
  </si>
  <si>
    <t xml:space="preserve">OGL</t>
  </si>
  <si>
    <t xml:space="preserve">OilGasLiquid</t>
  </si>
  <si>
    <t xml:space="preserve">FUEL_OIL</t>
  </si>
  <si>
    <t xml:space="preserve">Jet_Fuel</t>
  </si>
  <si>
    <t xml:space="preserve">Jet Fuel</t>
  </si>
  <si>
    <t xml:space="preserve">Lubricants</t>
  </si>
  <si>
    <t xml:space="preserve">Bitumen</t>
  </si>
  <si>
    <t xml:space="preserve">Ethy_and_Prop</t>
  </si>
  <si>
    <t xml:space="preserve">Ethy and Prop</t>
  </si>
  <si>
    <t xml:space="preserve">NLG</t>
  </si>
  <si>
    <t xml:space="preserve">Natural Liquid Gas</t>
  </si>
  <si>
    <t xml:space="preserve">BIOMASS</t>
  </si>
  <si>
    <t xml:space="preserve">Biomass</t>
  </si>
  <si>
    <t xml:space="preserve">HIDRO</t>
  </si>
  <si>
    <t xml:space="preserve">Hidro pump</t>
  </si>
  <si>
    <t xml:space="preserve">HIDRO_RUN</t>
  </si>
  <si>
    <t xml:space="preserve">Hidro run of river</t>
  </si>
  <si>
    <t xml:space="preserve">HIDRO_STG_PUMP</t>
  </si>
  <si>
    <t xml:space="preserve">Hidro storage pump</t>
  </si>
  <si>
    <t xml:space="preserve">WIND-ON</t>
  </si>
  <si>
    <t xml:space="preserve">Onshore Wind Energy</t>
  </si>
  <si>
    <t xml:space="preserve">BIOGAS</t>
  </si>
  <si>
    <t xml:space="preserve">SOLAR</t>
  </si>
  <si>
    <t xml:space="preserve">Solar Energy</t>
  </si>
  <si>
    <t xml:space="preserve">FUEL</t>
  </si>
  <si>
    <t xml:space="preserve">Fuel for engine</t>
  </si>
  <si>
    <t xml:space="preserve">HIDROGEN</t>
  </si>
  <si>
    <t xml:space="preserve">Hidrogen</t>
  </si>
  <si>
    <t xml:space="preserve">OTHER</t>
  </si>
  <si>
    <t xml:space="preserve">Available Commodity Sets</t>
  </si>
  <si>
    <t xml:space="preserve">Energy</t>
  </si>
  <si>
    <t xml:space="preserve">Emission</t>
  </si>
  <si>
    <t xml:space="preserve">DEM</t>
  </si>
  <si>
    <t xml:space="preserve">Demand</t>
  </si>
  <si>
    <t xml:space="preserve">MAT</t>
  </si>
  <si>
    <t xml:space="preserve">Material</t>
  </si>
  <si>
    <t xml:space="preserve">FIN</t>
  </si>
  <si>
    <t xml:space="preserve">Financial</t>
  </si>
  <si>
    <t xml:space="preserve">Define Processes</t>
  </si>
  <si>
    <t xml:space="preserve">~FI_Process</t>
  </si>
  <si>
    <t xml:space="preserve">Sets</t>
  </si>
  <si>
    <t xml:space="preserve">Region</t>
  </si>
  <si>
    <t xml:space="preserve">TechName</t>
  </si>
  <si>
    <t xml:space="preserve">TechDesc</t>
  </si>
  <si>
    <t xml:space="preserve">Tact</t>
  </si>
  <si>
    <t xml:space="preserve">Tcap</t>
  </si>
  <si>
    <t xml:space="preserve">Tslvl</t>
  </si>
  <si>
    <t xml:space="preserve">PrimaryCG</t>
  </si>
  <si>
    <t xml:space="preserve">Vintage</t>
  </si>
  <si>
    <t xml:space="preserve">\I: Process Set</t>
  </si>
  <si>
    <t xml:space="preserve">Region Name</t>
  </si>
  <si>
    <t xml:space="preserve">Technology Name</t>
  </si>
  <si>
    <t xml:space="preserve">Technology Description</t>
  </si>
  <si>
    <t xml:space="preserve">Activity Unit</t>
  </si>
  <si>
    <t xml:space="preserve">Capacity Unit</t>
  </si>
  <si>
    <t xml:space="preserve">Primary Commodity Group</t>
  </si>
  <si>
    <t xml:space="preserve">Vintage Tracking</t>
  </si>
  <si>
    <t xml:space="preserve">SAR</t>
  </si>
  <si>
    <t xml:space="preserve">MIN_EX_WIND-ON</t>
  </si>
  <si>
    <t xml:space="preserve">Wind-On Energy Mine</t>
  </si>
  <si>
    <t xml:space="preserve">GW</t>
  </si>
  <si>
    <t xml:space="preserve">MIN_EX_PV</t>
  </si>
  <si>
    <t xml:space="preserve">Solar Energy Mine</t>
  </si>
  <si>
    <t xml:space="preserve">MIN_EX_AUTOPR_PV</t>
  </si>
  <si>
    <t xml:space="preserve">Autoproducer PV Electicity </t>
  </si>
  <si>
    <t xml:space="preserve">ELE</t>
  </si>
  <si>
    <t xml:space="preserve">ELE_EX_WIND-ON</t>
  </si>
  <si>
    <t xml:space="preserve">Existing Onshore Wind Turbines</t>
  </si>
  <si>
    <t xml:space="preserve">ELE_EX_AUTOPR_PV</t>
  </si>
  <si>
    <t xml:space="preserve">Existing autoproducer PV Elecrticity</t>
  </si>
  <si>
    <t xml:space="preserve">ELE_EX_AUTOPR_PV_RES</t>
  </si>
  <si>
    <t xml:space="preserve">Existing autoproducer residential PV Elecrticity</t>
  </si>
  <si>
    <t xml:space="preserve">ELE_EX_PV</t>
  </si>
  <si>
    <t xml:space="preserve">Existing Photovoltaics</t>
  </si>
  <si>
    <t xml:space="preserve">ELE_EX_HC</t>
  </si>
  <si>
    <t xml:space="preserve">Existing Hard Coal Power Plants</t>
  </si>
  <si>
    <t xml:space="preserve">ELE_EX_OILGAS</t>
  </si>
  <si>
    <t xml:space="preserve">Existing Syngas Power Plants</t>
  </si>
  <si>
    <t xml:space="preserve">ELE_EX_BIOMASS</t>
  </si>
  <si>
    <t xml:space="preserve">Existing Biomass Power Plants</t>
  </si>
  <si>
    <t xml:space="preserve">SEASON</t>
  </si>
  <si>
    <t xml:space="preserve">ELE_EX_HIDRO</t>
  </si>
  <si>
    <t xml:space="preserve">Existing Hidro pump Power Plants</t>
  </si>
  <si>
    <t xml:space="preserve">ELE_EX_HIDRO_RUN</t>
  </si>
  <si>
    <t xml:space="preserve">Existing Hidro River on Run Power Plants</t>
  </si>
  <si>
    <t xml:space="preserve">STG</t>
  </si>
  <si>
    <t xml:space="preserve">ELE_EX_HIDRO_STORAGE_PUMP</t>
  </si>
  <si>
    <t xml:space="preserve">Existing Hidro pump Storage Capacity</t>
  </si>
  <si>
    <t xml:space="preserve">ELE_EX_OTHER</t>
  </si>
  <si>
    <t xml:space="preserve">Existing Other</t>
  </si>
  <si>
    <t xml:space="preserve">IMP</t>
  </si>
  <si>
    <t xml:space="preserve">IMP_ELC_HV</t>
  </si>
  <si>
    <t xml:space="preserve">Import of Electricity</t>
  </si>
  <si>
    <t xml:space="preserve">EXP</t>
  </si>
  <si>
    <t xml:space="preserve">EXP_ELC_HV</t>
  </si>
  <si>
    <t xml:space="preserve">Export of Electicity</t>
  </si>
  <si>
    <t xml:space="preserve">PRE</t>
  </si>
  <si>
    <t xml:space="preserve">TRANSF_HV-MV</t>
  </si>
  <si>
    <t xml:space="preserve">Electricity Transformation and Distribution High Voltage to Medium Voltage</t>
  </si>
  <si>
    <t xml:space="preserve">TRANSF_MV-LV</t>
  </si>
  <si>
    <t xml:space="preserve">Electricity Transformation and Distribution Medium Voltage to Low Voltage</t>
  </si>
  <si>
    <t xml:space="preserve">DISTRIBU_LV</t>
  </si>
  <si>
    <t xml:space="preserve">Electricity distribution to Low Voltage</t>
  </si>
  <si>
    <t xml:space="preserve">TRANSF_MV-HV</t>
  </si>
  <si>
    <t xml:space="preserve">Reverse flow MV to HV</t>
  </si>
  <si>
    <t xml:space="preserve">TRANSF_LV-MV</t>
  </si>
  <si>
    <t xml:space="preserve">Reverse flow LV to MV</t>
  </si>
  <si>
    <t xml:space="preserve">REFINARY</t>
  </si>
  <si>
    <t xml:space="preserve">Refinary</t>
  </si>
  <si>
    <t xml:space="preserve">PJ/a</t>
  </si>
  <si>
    <t xml:space="preserve">Available Process Sets</t>
  </si>
  <si>
    <t xml:space="preserve">Power Plant (Electricity Only)</t>
  </si>
  <si>
    <t xml:space="preserve">CHP</t>
  </si>
  <si>
    <t xml:space="preserve">Combined Heat &amp; Power Plant</t>
  </si>
  <si>
    <t xml:space="preserve">Timeslice Storage</t>
  </si>
  <si>
    <t xml:space="preserve">Generic Process</t>
  </si>
  <si>
    <t xml:space="preserve">DMD</t>
  </si>
  <si>
    <t xml:space="preserve">Demand Process</t>
  </si>
  <si>
    <t xml:space="preserve">Shoud have commodity of type DEM on Output</t>
  </si>
  <si>
    <t xml:space="preserve">INSERT DEMAND FOR SECTOR</t>
  </si>
  <si>
    <t xml:space="preserve">Import</t>
  </si>
  <si>
    <t xml:space="preserve">Commodity only at Output</t>
  </si>
  <si>
    <t xml:space="preserve">Eksport</t>
  </si>
  <si>
    <t xml:space="preserve">Commodity only at Input</t>
  </si>
  <si>
    <t xml:space="preserve">MIN</t>
  </si>
  <si>
    <t xml:space="preserve">Mining</t>
  </si>
  <si>
    <t xml:space="preserve">HPL</t>
  </si>
  <si>
    <t xml:space="preserve">Heat Only Plant</t>
  </si>
  <si>
    <t xml:space="preserve">~FI_T</t>
  </si>
  <si>
    <t xml:space="preserve">* TechDesc</t>
  </si>
  <si>
    <t xml:space="preserve">Comm-IN</t>
  </si>
  <si>
    <t xml:space="preserve">Comm-OUT</t>
  </si>
  <si>
    <t xml:space="preserve">Share-O</t>
  </si>
  <si>
    <t xml:space="preserve">EFF</t>
  </si>
  <si>
    <t xml:space="preserve">CAP2ACT</t>
  </si>
  <si>
    <t xml:space="preserve">STOCK~2023~2024</t>
  </si>
  <si>
    <t xml:space="preserve">STOCK~2025</t>
  </si>
  <si>
    <t xml:space="preserve">STOCK~2030</t>
  </si>
  <si>
    <t xml:space="preserve">STOCK~2035</t>
  </si>
  <si>
    <t xml:space="preserve">STOCK~2040</t>
  </si>
  <si>
    <t xml:space="preserve">STOCK~2045</t>
  </si>
  <si>
    <t xml:space="preserve">STOCK~2050</t>
  </si>
  <si>
    <t xml:space="preserve">AFA</t>
  </si>
  <si>
    <t xml:space="preserve">FIXOM</t>
  </si>
  <si>
    <t xml:space="preserve">VAROM</t>
  </si>
  <si>
    <t xml:space="preserve">\I: Technology Name</t>
  </si>
  <si>
    <t xml:space="preserve">Commodity Input</t>
  </si>
  <si>
    <t xml:space="preserve">Commodity Output</t>
  </si>
  <si>
    <t xml:space="preserve">Capacity to Activity Factor</t>
  </si>
  <si>
    <t xml:space="preserve">Installed Capacity [PJ/a]</t>
  </si>
  <si>
    <t xml:space="preserve">Fixed O&amp;M Costs [MEUR/PJ]</t>
  </si>
  <si>
    <t xml:space="preserve">Variable O&amp;M Costs [EUR/GJ]</t>
  </si>
  <si>
    <t xml:space="preserve">crude oil</t>
  </si>
  <si>
    <t xml:space="preserve">raffinery products</t>
  </si>
  <si>
    <t xml:space="preserve">PCI (GJ/t)</t>
  </si>
  <si>
    <t xml:space="preserve">crude</t>
  </si>
  <si>
    <t xml:space="preserve">Oil Gas liquid</t>
  </si>
  <si>
    <t xml:space="preserve">Jet fuel</t>
  </si>
  <si>
    <t xml:space="preserve">Oil fuel</t>
  </si>
  <si>
    <t xml:space="preserve">ethy and prop</t>
  </si>
  <si>
    <t xml:space="preserve">waste</t>
  </si>
  <si>
    <t xml:space="preserve">Power Plants</t>
  </si>
  <si>
    <t xml:space="preserve">STOCK~2023</t>
  </si>
  <si>
    <t xml:space="preserve">PEAK</t>
  </si>
  <si>
    <t xml:space="preserve">AFA~FX~0</t>
  </si>
  <si>
    <t xml:space="preserve">AFA~2023~FX</t>
  </si>
  <si>
    <t xml:space="preserve">AFA~2025</t>
  </si>
  <si>
    <t xml:space="preserve">AFA~LO~2025</t>
  </si>
  <si>
    <t xml:space="preserve">AFA~LO~2030</t>
  </si>
  <si>
    <t xml:space="preserve">AFA~LO~2035</t>
  </si>
  <si>
    <t xml:space="preserve">Installed Capacity [GW]</t>
  </si>
  <si>
    <t xml:space="preserve">Peak EQ Factor</t>
  </si>
  <si>
    <t xml:space="preserve">Annual Availability Factor</t>
  </si>
  <si>
    <t xml:space="preserve">Fixed O&amp;M Costs [EUR/kW]</t>
  </si>
  <si>
    <t xml:space="preserve">Min availability SARLUX (syngas)</t>
  </si>
  <si>
    <t xml:space="preserve">Alternative Syntax - one process</t>
  </si>
  <si>
    <t xml:space="preserve">Year</t>
  </si>
  <si>
    <t xml:space="preserve">STOCK</t>
  </si>
  <si>
    <t xml:space="preserve">Limit type [(in)equality sing]</t>
  </si>
  <si>
    <t xml:space="preserve">Fixed O&amp;M Costs [PLN/kW]</t>
  </si>
  <si>
    <t xml:space="preserve">Variable O&amp;M Costs [PLN/GJ]</t>
  </si>
  <si>
    <t xml:space="preserve">FX</t>
  </si>
  <si>
    <t xml:space="preserve">Renewable Energy Sources</t>
  </si>
  <si>
    <t xml:space="preserve">*TechDesc</t>
  </si>
  <si>
    <t xml:space="preserve">Existing Biomass power plant</t>
  </si>
  <si>
    <t xml:space="preserve">Existing Hidro pump system</t>
  </si>
  <si>
    <t xml:space="preserve">Exiting Hidro turbines Run of river</t>
  </si>
  <si>
    <t xml:space="preserve">Transformation and Distribution Networks</t>
  </si>
  <si>
    <t xml:space="preserve">Stock</t>
  </si>
  <si>
    <t xml:space="preserve">Cap2Act</t>
  </si>
  <si>
    <t xml:space="preserve">INVCOST~2025</t>
  </si>
  <si>
    <t xml:space="preserve">INVCOST~2030</t>
  </si>
  <si>
    <t xml:space="preserve">INVCOST~2035</t>
  </si>
  <si>
    <t xml:space="preserve">INVCOST~2040</t>
  </si>
  <si>
    <t xml:space="preserve">INVCOST~2045</t>
  </si>
  <si>
    <t xml:space="preserve">INVCOST~2050</t>
  </si>
  <si>
    <t xml:space="preserve">ACT_BND~LO~2040</t>
  </si>
  <si>
    <t xml:space="preserve">ACT_BND~LO~2045</t>
  </si>
  <si>
    <t xml:space="preserve">ACT_BND~LO~2050</t>
  </si>
  <si>
    <t xml:space="preserve">NCAP_BND~LO~2040</t>
  </si>
  <si>
    <t xml:space="preserve">NCAP_BND~LO~2045</t>
  </si>
  <si>
    <t xml:space="preserve">NCAP_BND~LO~2050</t>
  </si>
  <si>
    <t xml:space="preserve">LOSSES</t>
  </si>
  <si>
    <t xml:space="preserve">LIFE</t>
  </si>
  <si>
    <t xml:space="preserve">Variable cost EUR/GJ</t>
  </si>
  <si>
    <t xml:space="preserve">Investiment Cost MEUR/GW</t>
  </si>
  <si>
    <t xml:space="preserve">Min distribuzione LV (ACT_BND~LO~2040)</t>
  </si>
  <si>
    <t xml:space="preserve">Min distribuzione LV (ACT_BND~LO~2045)</t>
  </si>
  <si>
    <t xml:space="preserve">Min distribuzione LV (ACT_BND~LO~2050)</t>
  </si>
  <si>
    <t xml:space="preserve">Capacità minima T&amp;D 1 GW (NCAP_BND~LO~2040)</t>
  </si>
  <si>
    <t xml:space="preserve">Capacità minima T&amp;D 1 GW (NCAP_BND~LO~2045)</t>
  </si>
  <si>
    <t xml:space="preserve">Capacità minima T&amp;D 1 GW (NCAP_BND~LO~2050)</t>
  </si>
  <si>
    <t xml:space="preserve">Lifetime [years]</t>
  </si>
  <si>
    <t xml:space="preserve">Magazyny energii | Energy storage</t>
  </si>
  <si>
    <t xml:space="preserve">Stock~2023</t>
  </si>
  <si>
    <t xml:space="preserve">Stock~2025</t>
  </si>
  <si>
    <t xml:space="preserve">Stock~2030</t>
  </si>
  <si>
    <t xml:space="preserve">Stock~2050</t>
  </si>
  <si>
    <t xml:space="preserve">Peak</t>
  </si>
  <si>
    <t xml:space="preserve">COST</t>
  </si>
  <si>
    <t xml:space="preserve">ACT_BND~2023</t>
  </si>
  <si>
    <t xml:space="preserve">ACT_BND~2025</t>
  </si>
  <si>
    <t xml:space="preserve">ACT_BND~2030</t>
  </si>
  <si>
    <t xml:space="preserve">ACT_BND~2035</t>
  </si>
  <si>
    <t xml:space="preserve">ACT_BND~2040</t>
  </si>
  <si>
    <t xml:space="preserve">ACT_BND~2045</t>
  </si>
  <si>
    <t xml:space="preserve">ACT_BND~2050</t>
  </si>
  <si>
    <t xml:space="preserve">PJ/GW</t>
  </si>
  <si>
    <t xml:space="preserve">%</t>
  </si>
  <si>
    <t xml:space="preserve">EUR/GJ</t>
  </si>
  <si>
    <t xml:space="preserve">annual limit</t>
  </si>
  <si>
    <t xml:space="preserve">TWh/a</t>
  </si>
  <si>
    <t xml:space="preserve">maximum import in reality</t>
  </si>
  <si>
    <t xml:space="preserve">ADA</t>
  </si>
  <si>
    <t xml:space="preserve">Stock~2040</t>
  </si>
  <si>
    <t xml:space="preserve">TWh</t>
  </si>
  <si>
    <t xml:space="preserve">Sardinia exp TWh</t>
  </si>
  <si>
    <t xml:space="preserve">Comm-OUT-A</t>
  </si>
  <si>
    <t xml:space="preserve">S_EFF</t>
  </si>
  <si>
    <t xml:space="preserve">Stock~2020</t>
  </si>
  <si>
    <t xml:space="preserve">Stock~2035</t>
  </si>
  <si>
    <t xml:space="preserve">Stock~2045</t>
  </si>
  <si>
    <t xml:space="preserve">CommGrp</t>
  </si>
  <si>
    <t xml:space="preserve">NCAP_AFC~DAYNITE</t>
  </si>
  <si>
    <t xml:space="preserve">YEAR</t>
  </si>
  <si>
    <t xml:space="preserve">EUR/kW</t>
  </si>
  <si>
    <t xml:space="preserve">zl/GJ</t>
  </si>
  <si>
    <t xml:space="preserve">Existing Pumped Storage Capacity</t>
  </si>
  <si>
    <t xml:space="preserve">ACT</t>
  </si>
  <si>
    <t xml:space="preserve">Emission factor per chemical energy unit of fuel</t>
  </si>
  <si>
    <t xml:space="preserve">~PRCCOMEMI</t>
  </si>
  <si>
    <t xml:space="preserve">&lt;- Fuel Name as Column Header</t>
  </si>
  <si>
    <t xml:space="preserve">Commodity Name (Pollutant)</t>
  </si>
  <si>
    <t xml:space="preserve">Emission factor [kt/PJ]</t>
  </si>
  <si>
    <t xml:space="preserve">Limite attività IMPNRGZ - forza uso catena T&amp;D reale</t>
  </si>
  <si>
    <t xml:space="preserve">~TFM_UPD</t>
  </si>
  <si>
    <t xml:space="preserve">TimeSlice</t>
  </si>
  <si>
    <t xml:space="preserve">Attribute</t>
  </si>
  <si>
    <t xml:space="preserve">AllRegions</t>
  </si>
  <si>
    <t xml:space="preserve">PL</t>
  </si>
  <si>
    <t xml:space="preserve">Pset_Set</t>
  </si>
  <si>
    <t xml:space="preserve">Pset_PN</t>
  </si>
  <si>
    <t xml:space="preserve">Pset_PD</t>
  </si>
  <si>
    <t xml:space="preserve">Pset_CI</t>
  </si>
  <si>
    <t xml:space="preserve">Pset_CO</t>
  </si>
  <si>
    <t xml:space="preserve">Cset_Set</t>
  </si>
  <si>
    <t xml:space="preserve">Cset_CN</t>
  </si>
  <si>
    <t xml:space="preserve">Cset_CD</t>
  </si>
  <si>
    <t xml:space="preserve">UP</t>
  </si>
  <si>
    <t xml:space="preserve">ACT_BND</t>
  </si>
  <si>
    <t xml:space="preserve">IMPNRGZ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</si>
</sst>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#,##0___)"/>
    <numFmt numFmtId="167" formatCode="0.000"/>
    <numFmt numFmtId="168" formatCode="\Te&quot;xt&quot;"/>
    <numFmt numFmtId="169" formatCode="0.00"/>
    <numFmt numFmtId="170" formatCode="0.0"/>
    <numFmt numFmtId="171" formatCode="#,##0.000___)"/>
    <numFmt numFmtId="172" formatCode="0.00%"/>
  </numFmts>
  <fonts count="4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38"/>
    </font>
    <font>
      <sz val="10"/>
      <name val="Arial"/>
      <family val="2"/>
      <charset val="1"/>
    </font>
    <font>
      <sz val="11"/>
      <color theme="1"/>
      <name val="Calibri"/>
      <family val="2"/>
      <charset val="238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sz val="12"/>
      <color rgb="FFFFFFFF"/>
      <name val="Arial"/>
      <family val="2"/>
      <charset val="238"/>
    </font>
    <font>
      <sz val="10"/>
      <name val="Times New Roman"/>
      <family val="1"/>
      <charset val="238"/>
    </font>
    <font>
      <b val="true"/>
      <sz val="10"/>
      <name val="Times New Roman"/>
      <family val="1"/>
      <charset val="238"/>
    </font>
    <font>
      <sz val="10"/>
      <color theme="1"/>
      <name val="Times New Roman"/>
      <family val="1"/>
      <charset val="238"/>
    </font>
    <font>
      <sz val="10"/>
      <color rgb="FFFF0000"/>
      <name val="Times New Roman"/>
      <family val="1"/>
      <charset val="238"/>
    </font>
    <font>
      <sz val="8"/>
      <name val="Arial"/>
      <family val="2"/>
      <charset val="238"/>
    </font>
    <font>
      <sz val="8"/>
      <name val="Times New Roman"/>
      <family val="1"/>
      <charset val="238"/>
    </font>
    <font>
      <sz val="14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238"/>
    </font>
    <font>
      <sz val="10"/>
      <color theme="0"/>
      <name val="Arial"/>
      <family val="2"/>
      <charset val="238"/>
    </font>
    <font>
      <sz val="10"/>
      <name val="Arial"/>
      <family val="2"/>
    </font>
    <font>
      <sz val="12"/>
      <color rgb="FF003366"/>
      <name val="Arial"/>
      <family val="2"/>
      <charset val="1"/>
    </font>
    <font>
      <sz val="12"/>
      <color rgb="FFFF6600"/>
      <name val="Arial"/>
      <family val="2"/>
      <charset val="1"/>
    </font>
    <font>
      <u val="single"/>
      <sz val="10"/>
      <name val="Arial"/>
      <family val="2"/>
      <charset val="238"/>
    </font>
    <font>
      <b val="true"/>
      <sz val="10"/>
      <name val="Arial"/>
      <family val="2"/>
      <charset val="238"/>
    </font>
    <font>
      <u val="single"/>
      <sz val="10"/>
      <name val="Arial"/>
      <family val="2"/>
      <charset val="1"/>
    </font>
    <font>
      <b val="true"/>
      <sz val="12"/>
      <color rgb="FFFFFFFF"/>
      <name val="Arial"/>
      <family val="2"/>
      <charset val="238"/>
    </font>
    <font>
      <sz val="8"/>
      <color rgb="FFFF0000"/>
      <name val="Arial"/>
      <family val="2"/>
      <charset val="1"/>
    </font>
    <font>
      <b val="true"/>
      <sz val="12"/>
      <name val="Arial"/>
      <family val="2"/>
      <charset val="238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4"/>
      <color rgb="FFFFFFFF"/>
      <name val="Arial"/>
      <family val="2"/>
      <charset val="238"/>
    </font>
    <font>
      <b val="true"/>
      <sz val="10"/>
      <color rgb="FF010000"/>
      <name val="Arial"/>
      <family val="2"/>
      <charset val="238"/>
    </font>
    <font>
      <sz val="9"/>
      <color rgb="FFFFFFFF"/>
      <name val="Arial"/>
      <family val="2"/>
      <charset val="238"/>
    </font>
    <font>
      <b val="true"/>
      <sz val="9"/>
      <color rgb="FF0000FF"/>
      <name val="Arial"/>
      <family val="2"/>
      <charset val="238"/>
    </font>
    <font>
      <sz val="9"/>
      <name val="Arial"/>
      <family val="2"/>
      <charset val="238"/>
    </font>
    <font>
      <sz val="9"/>
      <color theme="1"/>
      <name val="Arial"/>
      <family val="2"/>
      <charset val="238"/>
    </font>
    <font>
      <sz val="9"/>
      <color rgb="FFFF0000"/>
      <name val="Arial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99"/>
        <bgColor rgb="FFFFFFC1"/>
      </patternFill>
    </fill>
    <fill>
      <patternFill patternType="solid">
        <fgColor rgb="FFCCFFCC"/>
        <bgColor rgb="FFDCE6F2"/>
      </patternFill>
    </fill>
    <fill>
      <patternFill patternType="solid">
        <fgColor rgb="FFFFFFFF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theme="1"/>
        <bgColor rgb="FF010000"/>
      </patternFill>
    </fill>
    <fill>
      <patternFill patternType="solid">
        <fgColor rgb="FFFFFFC1"/>
        <bgColor rgb="FFFFFF99"/>
      </patternFill>
    </fill>
    <fill>
      <patternFill patternType="solid">
        <fgColor rgb="FFFFC000"/>
        <bgColor rgb="FFFF9900"/>
      </patternFill>
    </fill>
    <fill>
      <patternFill patternType="solid">
        <fgColor theme="4" tint="0.7999"/>
        <bgColor rgb="FFF2F2F2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5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8" fontId="2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0" fillId="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6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6" borderId="1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1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6" borderId="1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6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" fillId="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8" fontId="5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" fillId="6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9" fontId="5" fillId="6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8" fontId="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3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3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9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5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40" fillId="5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39" fillId="5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5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38" fillId="5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39" fillId="5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- Style1 2 2 3" xfId="20"/>
    <cellStyle name="Normal 10" xfId="21"/>
    <cellStyle name="Normal 10 15 2" xfId="22"/>
    <cellStyle name="Normal 2" xfId="23"/>
    <cellStyle name="Normal 3" xfId="24"/>
    <cellStyle name="Normal 39 2 2" xfId="25"/>
    <cellStyle name="Normal 4" xfId="26"/>
    <cellStyle name="Normal 5" xfId="27"/>
    <cellStyle name="Normal_MIN" xfId="28"/>
    <cellStyle name="Normalny 2" xfId="29"/>
    <cellStyle name="Normalny 43" xfId="30"/>
    <cellStyle name="Normalny 43 2" xfId="31"/>
    <cellStyle name="Normalny_S301-339-05" xfId="32"/>
    <cellStyle name="Normalny_T206" xfId="33"/>
    <cellStyle name="Per cent 2" xfId="34"/>
    <cellStyle name="Percentuale 2" xfId="35"/>
    <cellStyle name="Procentowy 2" xfId="3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1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100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4</xdr:row>
      <xdr:rowOff>0</xdr:rowOff>
    </xdr:from>
    <xdr:to>
      <xdr:col>19</xdr:col>
      <xdr:colOff>313200</xdr:colOff>
      <xdr:row>40</xdr:row>
      <xdr:rowOff>114120</xdr:rowOff>
    </xdr:to>
    <xdr:pic>
      <xdr:nvPicPr>
        <xdr:cNvPr id="0" name="Elemento grafico 2" descr=""/>
        <xdr:cNvPicPr/>
      </xdr:nvPicPr>
      <xdr:blipFill>
        <a:blip r:embed="rId1"/>
        <a:stretch/>
      </xdr:blipFill>
      <xdr:spPr>
        <a:xfrm>
          <a:off x="1834560" y="647640"/>
          <a:ext cx="10097280" cy="594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44640</xdr:colOff>
      <xdr:row>39</xdr:row>
      <xdr:rowOff>81360</xdr:rowOff>
    </xdr:from>
    <xdr:to>
      <xdr:col>18</xdr:col>
      <xdr:colOff>611280</xdr:colOff>
      <xdr:row>75</xdr:row>
      <xdr:rowOff>55800</xdr:rowOff>
    </xdr:to>
    <xdr:pic>
      <xdr:nvPicPr>
        <xdr:cNvPr id="1" name="Elemento grafico 3" descr=""/>
        <xdr:cNvPicPr/>
      </xdr:nvPicPr>
      <xdr:blipFill>
        <a:blip r:embed="rId2"/>
        <a:stretch/>
      </xdr:blipFill>
      <xdr:spPr>
        <a:xfrm>
          <a:off x="1879200" y="6396480"/>
          <a:ext cx="9739080" cy="5803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471600</xdr:colOff>
      <xdr:row>75</xdr:row>
      <xdr:rowOff>7560</xdr:rowOff>
    </xdr:from>
    <xdr:to>
      <xdr:col>18</xdr:col>
      <xdr:colOff>547560</xdr:colOff>
      <xdr:row>109</xdr:row>
      <xdr:rowOff>113760</xdr:rowOff>
    </xdr:to>
    <xdr:pic>
      <xdr:nvPicPr>
        <xdr:cNvPr id="2" name="Elemento grafico 4" descr=""/>
        <xdr:cNvPicPr/>
      </xdr:nvPicPr>
      <xdr:blipFill>
        <a:blip r:embed="rId3"/>
        <a:stretch/>
      </xdr:blipFill>
      <xdr:spPr>
        <a:xfrm>
          <a:off x="2306160" y="12151800"/>
          <a:ext cx="9248400" cy="5611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7" activeCellId="0" sqref="B17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.57"/>
    <col collapsed="false" customWidth="true" hidden="false" outlineLevel="0" max="3" min="3" style="1" width="49.42"/>
    <col collapsed="false" customWidth="true" hidden="false" outlineLevel="0" max="5" min="4" style="1" width="15"/>
    <col collapsed="false" customWidth="true" hidden="false" outlineLevel="0" max="6" min="6" style="1" width="10.57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0.57"/>
  </cols>
  <sheetData>
    <row r="2" customFormat="false" ht="15" hidden="false" customHeight="true" outlineLevel="0" collapsed="false">
      <c r="B2" s="2" t="s">
        <v>0</v>
      </c>
      <c r="C2" s="2"/>
    </row>
    <row r="4" customFormat="false" ht="12.75" hidden="false" customHeight="true" outlineLevel="0" collapsed="false">
      <c r="B4" s="3"/>
      <c r="C4" s="3"/>
    </row>
    <row r="5" customFormat="false" ht="13.5" hidden="false" customHeight="true" outlineLevel="0" collapsed="false">
      <c r="B5" s="3" t="s">
        <v>1</v>
      </c>
      <c r="C5" s="3"/>
    </row>
    <row r="6" customFormat="false" ht="51" hidden="false" customHeight="true" outlineLevel="0" collapsed="false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7</v>
      </c>
      <c r="J6" s="6" t="s">
        <v>8</v>
      </c>
    </row>
    <row r="7" customFormat="false" ht="51" hidden="false" customHeight="true" outlineLevel="0" collapsed="false">
      <c r="B7" s="4"/>
      <c r="C7" s="5"/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12</v>
      </c>
      <c r="J7" s="7" t="s">
        <v>13</v>
      </c>
    </row>
    <row r="8" customFormat="false" ht="15.75" hidden="false" customHeight="true" outlineLevel="0" collapsed="false">
      <c r="B8" s="4"/>
      <c r="C8" s="5"/>
      <c r="D8" s="8" t="s">
        <v>14</v>
      </c>
      <c r="E8" s="8" t="s">
        <v>15</v>
      </c>
      <c r="F8" s="8" t="s">
        <v>16</v>
      </c>
      <c r="G8" s="8" t="s">
        <v>17</v>
      </c>
      <c r="H8" s="8" t="s">
        <v>18</v>
      </c>
      <c r="I8" s="8" t="s">
        <v>19</v>
      </c>
      <c r="J8" s="9" t="s">
        <v>20</v>
      </c>
    </row>
    <row r="9" customFormat="false" ht="12.75" hidden="false" customHeight="true" outlineLevel="0" collapsed="false">
      <c r="B9" s="10" t="s">
        <v>21</v>
      </c>
      <c r="C9" s="11" t="s">
        <v>22</v>
      </c>
      <c r="D9" s="12" t="n">
        <v>600</v>
      </c>
      <c r="E9" s="12" t="n">
        <v>4500</v>
      </c>
      <c r="F9" s="13" t="n">
        <v>0</v>
      </c>
      <c r="G9" s="13" t="n">
        <v>1790</v>
      </c>
      <c r="H9" s="13" t="n">
        <v>23500</v>
      </c>
      <c r="I9" s="14"/>
      <c r="J9" s="15"/>
    </row>
    <row r="10" customFormat="false" ht="12.75" hidden="false" customHeight="true" outlineLevel="0" collapsed="false">
      <c r="B10" s="10" t="s">
        <v>23</v>
      </c>
      <c r="C10" s="11" t="s">
        <v>24</v>
      </c>
      <c r="D10" s="12" t="n">
        <v>550</v>
      </c>
      <c r="E10" s="12" t="n">
        <v>4100</v>
      </c>
      <c r="F10" s="13" t="n">
        <v>0</v>
      </c>
      <c r="G10" s="13" t="n">
        <v>2450</v>
      </c>
      <c r="H10" s="13" t="n">
        <v>11000</v>
      </c>
      <c r="I10" s="14"/>
      <c r="J10" s="15"/>
    </row>
    <row r="11" customFormat="false" ht="12.75" hidden="false" customHeight="true" outlineLevel="0" collapsed="false">
      <c r="B11" s="10" t="s">
        <v>25</v>
      </c>
      <c r="C11" s="11" t="s">
        <v>26</v>
      </c>
      <c r="D11" s="12" t="n">
        <v>74</v>
      </c>
      <c r="E11" s="12" t="n">
        <v>247</v>
      </c>
      <c r="F11" s="13" t="n">
        <v>0</v>
      </c>
      <c r="G11" s="14" t="n">
        <v>3500</v>
      </c>
      <c r="H11" s="13" t="n">
        <v>11000</v>
      </c>
      <c r="I11" s="14"/>
      <c r="J11" s="15"/>
    </row>
    <row r="12" customFormat="false" ht="12.75" hidden="false" customHeight="true" outlineLevel="0" collapsed="false">
      <c r="B12" s="10" t="s">
        <v>27</v>
      </c>
      <c r="C12" s="11" t="s">
        <v>28</v>
      </c>
      <c r="D12" s="12" t="n">
        <v>240</v>
      </c>
      <c r="E12" s="12" t="n">
        <v>123</v>
      </c>
      <c r="F12" s="13" t="n">
        <v>0</v>
      </c>
      <c r="G12" s="13" t="n">
        <v>0</v>
      </c>
      <c r="H12" s="14"/>
      <c r="I12" s="14"/>
      <c r="J12" s="15"/>
    </row>
    <row r="13" customFormat="false" ht="12.75" hidden="false" customHeight="true" outlineLevel="0" collapsed="false">
      <c r="B13" s="10" t="s">
        <v>29</v>
      </c>
      <c r="C13" s="11" t="s">
        <v>30</v>
      </c>
      <c r="D13" s="12" t="n">
        <v>70</v>
      </c>
      <c r="E13" s="12" t="n">
        <v>50</v>
      </c>
      <c r="F13" s="13" t="n">
        <v>0</v>
      </c>
      <c r="G13" s="13" t="n">
        <v>0</v>
      </c>
      <c r="H13" s="14"/>
      <c r="I13" s="14"/>
      <c r="J13" s="15"/>
    </row>
    <row r="14" customFormat="false" ht="12.75" hidden="false" customHeight="true" outlineLevel="0" collapsed="false">
      <c r="B14" s="10" t="s">
        <v>31</v>
      </c>
      <c r="C14" s="11" t="s">
        <v>32</v>
      </c>
      <c r="D14" s="12" t="n">
        <v>1890</v>
      </c>
      <c r="E14" s="12" t="n">
        <v>2770</v>
      </c>
      <c r="F14" s="13" t="n">
        <v>0</v>
      </c>
      <c r="G14" s="13" t="n">
        <v>0</v>
      </c>
      <c r="H14" s="14"/>
      <c r="I14" s="14"/>
      <c r="J14" s="15"/>
    </row>
    <row r="15" customFormat="false" ht="12.75" hidden="false" customHeight="true" outlineLevel="0" collapsed="false">
      <c r="B15" s="10" t="s">
        <v>33</v>
      </c>
      <c r="C15" s="11" t="s">
        <v>34</v>
      </c>
      <c r="D15" s="12" t="n">
        <v>1540</v>
      </c>
      <c r="E15" s="12" t="n">
        <v>1910</v>
      </c>
      <c r="F15" s="13" t="n">
        <v>0</v>
      </c>
      <c r="G15" s="13" t="n">
        <v>0</v>
      </c>
      <c r="H15" s="14"/>
      <c r="I15" s="14"/>
      <c r="J15" s="15"/>
    </row>
    <row r="16" customFormat="false" ht="13.5" hidden="false" customHeight="true" outlineLevel="0" collapsed="false">
      <c r="B16" s="16" t="s">
        <v>35</v>
      </c>
      <c r="C16" s="17" t="s">
        <v>36</v>
      </c>
      <c r="D16" s="18" t="n">
        <f aca="false">SUM(D9:D15)</f>
        <v>4964</v>
      </c>
      <c r="E16" s="19" t="n">
        <f aca="false">SUM(E9:E15)</f>
        <v>13700</v>
      </c>
      <c r="F16" s="19" t="n">
        <f aca="false">SUM(F9:F15)</f>
        <v>0</v>
      </c>
      <c r="G16" s="19" t="n">
        <f aca="false">SUM(G9:G15)</f>
        <v>7740</v>
      </c>
      <c r="H16" s="18"/>
      <c r="I16" s="18"/>
      <c r="J16" s="20"/>
    </row>
    <row r="17" customFormat="false" ht="15.75" hidden="false" customHeight="true" outlineLevel="0" collapsed="false">
      <c r="B17" s="21" t="s">
        <v>37</v>
      </c>
      <c r="C17" s="21"/>
    </row>
    <row r="18" customFormat="false" ht="12.75" hidden="false" customHeight="true" outlineLevel="0" collapsed="false">
      <c r="B18" s="21" t="s">
        <v>38</v>
      </c>
      <c r="C18" s="21"/>
    </row>
    <row r="19" customFormat="false" ht="12.75" hidden="false" customHeight="true" outlineLevel="0" collapsed="false">
      <c r="B19" s="22" t="s">
        <v>39</v>
      </c>
      <c r="C19" s="21"/>
    </row>
    <row r="20" customFormat="false" ht="12.75" hidden="false" customHeight="true" outlineLevel="0" collapsed="false">
      <c r="B20" s="21" t="s">
        <v>40</v>
      </c>
      <c r="C20" s="21"/>
    </row>
    <row r="21" customFormat="false" ht="12.75" hidden="false" customHeight="true" outlineLevel="0" collapsed="false">
      <c r="B21" s="3"/>
      <c r="C21" s="3"/>
      <c r="D21" s="3"/>
      <c r="E21" s="3"/>
      <c r="F21" s="3"/>
    </row>
    <row r="22" customFormat="false" ht="12.75" hidden="false" customHeight="true" outlineLevel="0" collapsed="false">
      <c r="B22" s="3"/>
      <c r="C22" s="3"/>
      <c r="D22" s="3"/>
      <c r="E22" s="3"/>
      <c r="F22" s="3"/>
    </row>
    <row r="23" customFormat="false" ht="15" hidden="false" customHeight="true" outlineLevel="0" collapsed="false">
      <c r="B23" s="2" t="s">
        <v>41</v>
      </c>
      <c r="C23" s="2"/>
      <c r="D23" s="3"/>
      <c r="E23" s="3"/>
      <c r="F23" s="3"/>
    </row>
    <row r="25" customFormat="false" ht="12.75" hidden="false" customHeight="true" outlineLevel="0" collapsed="false">
      <c r="B25" s="3" t="s">
        <v>42</v>
      </c>
      <c r="C25" s="3"/>
      <c r="D25" s="3"/>
      <c r="E25" s="3"/>
      <c r="F25" s="3"/>
    </row>
    <row r="26" customFormat="false" ht="13.5" hidden="false" customHeight="true" outlineLevel="0" collapsed="false">
      <c r="B26" s="3" t="s">
        <v>43</v>
      </c>
      <c r="C26" s="3"/>
      <c r="D26" s="3"/>
      <c r="E26" s="3"/>
      <c r="F26" s="3"/>
    </row>
    <row r="27" customFormat="false" ht="31.5" hidden="false" customHeight="true" outlineLevel="0" collapsed="false">
      <c r="B27" s="23" t="s">
        <v>44</v>
      </c>
      <c r="C27" s="24" t="s">
        <v>45</v>
      </c>
      <c r="D27" s="5" t="s">
        <v>46</v>
      </c>
      <c r="E27" s="25" t="s">
        <v>47</v>
      </c>
      <c r="F27" s="3"/>
    </row>
    <row r="28" customFormat="false" ht="31.5" hidden="false" customHeight="true" outlineLevel="0" collapsed="false">
      <c r="B28" s="23"/>
      <c r="C28" s="24"/>
      <c r="D28" s="7" t="s">
        <v>48</v>
      </c>
      <c r="E28" s="26" t="s">
        <v>49</v>
      </c>
      <c r="F28" s="3"/>
    </row>
    <row r="29" customFormat="false" ht="12.75" hidden="false" customHeight="true" outlineLevel="0" collapsed="false">
      <c r="B29" s="27" t="s">
        <v>50</v>
      </c>
      <c r="C29" s="28" t="s">
        <v>51</v>
      </c>
      <c r="D29" s="8" t="s">
        <v>52</v>
      </c>
      <c r="E29" s="29" t="n">
        <v>0.985</v>
      </c>
      <c r="F29" s="3"/>
      <c r="G29" s="30"/>
    </row>
    <row r="30" customFormat="false" ht="12.75" hidden="false" customHeight="true" outlineLevel="0" collapsed="false">
      <c r="B30" s="27" t="s">
        <v>50</v>
      </c>
      <c r="C30" s="28" t="s">
        <v>51</v>
      </c>
      <c r="D30" s="8" t="s">
        <v>53</v>
      </c>
      <c r="E30" s="29" t="n">
        <v>0.953</v>
      </c>
      <c r="F30" s="3"/>
      <c r="G30" s="30"/>
    </row>
    <row r="31" customFormat="false" ht="12.75" hidden="false" customHeight="true" outlineLevel="0" collapsed="false">
      <c r="B31" s="27" t="s">
        <v>50</v>
      </c>
      <c r="C31" s="28" t="s">
        <v>51</v>
      </c>
      <c r="D31" s="8" t="s">
        <v>54</v>
      </c>
      <c r="E31" s="29" t="n">
        <v>0.898</v>
      </c>
      <c r="F31" s="3"/>
      <c r="G31" s="31"/>
    </row>
    <row r="32" customFormat="false" ht="12.75" hidden="false" customHeight="true" outlineLevel="0" collapsed="false">
      <c r="B32" s="21"/>
      <c r="C32" s="3"/>
      <c r="D32" s="3"/>
      <c r="E32" s="32"/>
      <c r="F32" s="3"/>
      <c r="O32" s="31"/>
      <c r="P32" s="31"/>
    </row>
    <row r="33" customFormat="false" ht="12.75" hidden="false" customHeight="true" outlineLevel="0" collapsed="false">
      <c r="B33" s="22"/>
      <c r="C33" s="3"/>
      <c r="D33" s="3"/>
      <c r="E33" s="32"/>
      <c r="F33" s="3"/>
    </row>
    <row r="34" customFormat="false" ht="12.75" hidden="false" customHeight="true" outlineLevel="0" collapsed="false">
      <c r="B34" s="22"/>
      <c r="C34" s="3"/>
      <c r="D34" s="3"/>
      <c r="E34" s="32"/>
      <c r="F34" s="3"/>
    </row>
    <row r="35" customFormat="false" ht="12.75" hidden="false" customHeight="true" outlineLevel="0" collapsed="false">
      <c r="B35" s="3"/>
      <c r="C35" s="3"/>
      <c r="D35" s="3"/>
      <c r="E35" s="32"/>
      <c r="F35" s="3"/>
    </row>
    <row r="36" customFormat="false" ht="12.75" hidden="false" customHeight="true" outlineLevel="0" collapsed="false">
      <c r="B36" s="3"/>
      <c r="C36" s="3"/>
      <c r="D36" s="3"/>
      <c r="E36" s="32"/>
      <c r="F36" s="3"/>
    </row>
    <row r="37" customFormat="false" ht="15" hidden="false" customHeight="true" outlineLevel="0" collapsed="false">
      <c r="B37" s="2" t="s">
        <v>55</v>
      </c>
      <c r="C37" s="2"/>
      <c r="D37" s="3"/>
      <c r="E37" s="32"/>
      <c r="F37" s="3"/>
    </row>
    <row r="38" customFormat="false" ht="12.75" hidden="false" customHeight="true" outlineLevel="0" collapsed="false">
      <c r="B38" s="3"/>
      <c r="C38" s="3"/>
      <c r="D38" s="3"/>
      <c r="E38" s="32"/>
      <c r="F38" s="3"/>
    </row>
    <row r="39" customFormat="false" ht="12.75" hidden="false" customHeight="true" outlineLevel="0" collapsed="false">
      <c r="B39" s="3" t="s">
        <v>56</v>
      </c>
      <c r="C39" s="3"/>
      <c r="D39" s="3"/>
      <c r="E39" s="32"/>
      <c r="F39" s="3"/>
    </row>
    <row r="40" customFormat="false" ht="13.5" hidden="false" customHeight="true" outlineLevel="0" collapsed="false">
      <c r="B40" s="3"/>
      <c r="C40" s="3"/>
      <c r="D40" s="3"/>
      <c r="E40" s="32"/>
      <c r="F40" s="3"/>
    </row>
    <row r="41" customFormat="false" ht="24.75" hidden="false" customHeight="true" outlineLevel="0" collapsed="false">
      <c r="B41" s="23" t="s">
        <v>57</v>
      </c>
      <c r="C41" s="24" t="s">
        <v>45</v>
      </c>
      <c r="D41" s="24" t="s">
        <v>58</v>
      </c>
      <c r="E41" s="6" t="s">
        <v>59</v>
      </c>
      <c r="F41" s="3"/>
    </row>
    <row r="42" customFormat="false" ht="24.75" hidden="false" customHeight="true" outlineLevel="0" collapsed="false">
      <c r="B42" s="23"/>
      <c r="C42" s="24"/>
      <c r="D42" s="33" t="s">
        <v>60</v>
      </c>
      <c r="E42" s="34" t="s">
        <v>61</v>
      </c>
      <c r="F42" s="3"/>
    </row>
    <row r="43" customFormat="false" ht="12.75" hidden="false" customHeight="true" outlineLevel="0" collapsed="false">
      <c r="B43" s="27" t="s">
        <v>50</v>
      </c>
      <c r="C43" s="28" t="s">
        <v>51</v>
      </c>
      <c r="D43" s="8" t="s">
        <v>62</v>
      </c>
      <c r="E43" s="29" t="n">
        <f aca="false">SUM(E9:E15)*E29/1000</f>
        <v>13.4945</v>
      </c>
      <c r="F43" s="3"/>
    </row>
    <row r="44" customFormat="false" ht="12.75" hidden="false" customHeight="true" outlineLevel="0" collapsed="false">
      <c r="B44" s="21" t="s">
        <v>63</v>
      </c>
      <c r="C44" s="3"/>
      <c r="D44" s="3"/>
      <c r="E44" s="3"/>
      <c r="F44" s="3"/>
    </row>
    <row r="45" customFormat="false" ht="12.75" hidden="false" customHeight="true" outlineLevel="0" collapsed="false">
      <c r="B45" s="22" t="s">
        <v>64</v>
      </c>
      <c r="C45" s="3"/>
      <c r="D45" s="3"/>
      <c r="E45" s="3"/>
      <c r="F45" s="3"/>
    </row>
    <row r="46" customFormat="false" ht="12.75" hidden="false" customHeight="true" outlineLevel="0" collapsed="false">
      <c r="B46" s="22" t="s">
        <v>65</v>
      </c>
    </row>
    <row r="48" customFormat="false" ht="12.75" hidden="false" customHeight="true" outlineLevel="0" collapsed="false">
      <c r="B48" s="3"/>
      <c r="C48" s="3"/>
    </row>
  </sheetData>
  <mergeCells count="6">
    <mergeCell ref="B6:B8"/>
    <mergeCell ref="C6:C8"/>
    <mergeCell ref="B27:B28"/>
    <mergeCell ref="C27:C28"/>
    <mergeCell ref="B41:B42"/>
    <mergeCell ref="C41:C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29" zoomScaleNormal="29" zoomScalePageLayoutView="100" workbookViewId="0">
      <selection pane="topLeft" activeCell="X113" activeCellId="0" sqref="X113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1" activeCellId="0" sqref="M2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.57"/>
    <col collapsed="false" customWidth="true" hidden="false" outlineLevel="0" max="3" min="3" style="1" width="17.15"/>
    <col collapsed="false" customWidth="true" hidden="false" outlineLevel="0" max="4" min="4" style="1" width="42.57"/>
    <col collapsed="false" customWidth="true" hidden="false" outlineLevel="0" max="5" min="5" style="1" width="9.29"/>
    <col collapsed="false" customWidth="true" hidden="false" outlineLevel="0" max="6" min="6" style="1" width="13.42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13.42"/>
    <col collapsed="false" customWidth="true" hidden="false" outlineLevel="0" max="10" min="10" style="1" width="10.42"/>
    <col collapsed="false" customWidth="true" hidden="false" outlineLevel="0" max="12" min="11" style="1" width="10.57"/>
  </cols>
  <sheetData>
    <row r="2" customFormat="false" ht="18" hidden="false" customHeight="true" outlineLevel="0" collapsed="false">
      <c r="B2" s="35" t="s">
        <v>66</v>
      </c>
      <c r="C2" s="36"/>
      <c r="D2" s="36"/>
      <c r="E2" s="37"/>
      <c r="F2" s="37"/>
      <c r="G2" s="37"/>
      <c r="H2" s="37"/>
      <c r="I2" s="37"/>
    </row>
    <row r="3" customFormat="false" ht="17.25" hidden="false" customHeight="true" outlineLevel="0" collapsed="false">
      <c r="B3" s="38"/>
      <c r="C3" s="37"/>
      <c r="D3" s="37"/>
      <c r="E3" s="37"/>
      <c r="F3" s="37"/>
      <c r="G3" s="37"/>
      <c r="H3" s="37"/>
      <c r="I3" s="37"/>
    </row>
    <row r="4" customFormat="false" ht="17.25" hidden="false" customHeight="true" outlineLevel="0" collapsed="false">
      <c r="B4" s="38" t="s">
        <v>67</v>
      </c>
      <c r="C4" s="37"/>
      <c r="D4" s="37"/>
      <c r="E4" s="37"/>
      <c r="F4" s="37"/>
      <c r="G4" s="37"/>
      <c r="H4" s="37"/>
      <c r="I4" s="37"/>
    </row>
    <row r="5" customFormat="false" ht="15.75" hidden="false" customHeight="true" outlineLevel="0" collapsed="false">
      <c r="B5" s="39" t="s">
        <v>68</v>
      </c>
      <c r="C5" s="39" t="s">
        <v>69</v>
      </c>
      <c r="D5" s="39" t="s">
        <v>70</v>
      </c>
      <c r="E5" s="39" t="s">
        <v>60</v>
      </c>
      <c r="F5" s="40" t="s">
        <v>71</v>
      </c>
      <c r="G5" s="39" t="s">
        <v>72</v>
      </c>
      <c r="H5" s="39" t="s">
        <v>73</v>
      </c>
      <c r="I5" s="39" t="s">
        <v>74</v>
      </c>
    </row>
    <row r="6" customFormat="false" ht="39.75" hidden="false" customHeight="true" outlineLevel="0" collapsed="false">
      <c r="B6" s="41" t="s">
        <v>75</v>
      </c>
      <c r="C6" s="41" t="s">
        <v>76</v>
      </c>
      <c r="D6" s="41" t="s">
        <v>77</v>
      </c>
      <c r="E6" s="41" t="s">
        <v>60</v>
      </c>
      <c r="F6" s="41" t="s">
        <v>78</v>
      </c>
      <c r="G6" s="41" t="s">
        <v>79</v>
      </c>
      <c r="H6" s="41" t="s">
        <v>80</v>
      </c>
      <c r="I6" s="41" t="s">
        <v>81</v>
      </c>
    </row>
    <row r="7" customFormat="false" ht="18.75" hidden="false" customHeight="true" outlineLevel="0" collapsed="false">
      <c r="B7" s="42" t="s">
        <v>82</v>
      </c>
      <c r="C7" s="42" t="s">
        <v>83</v>
      </c>
      <c r="D7" s="42" t="s">
        <v>84</v>
      </c>
      <c r="E7" s="42" t="s">
        <v>85</v>
      </c>
      <c r="F7" s="42"/>
      <c r="G7" s="42" t="s">
        <v>86</v>
      </c>
      <c r="H7" s="42" t="s">
        <v>87</v>
      </c>
      <c r="I7" s="42" t="s">
        <v>88</v>
      </c>
    </row>
    <row r="8" customFormat="false" ht="18.75" hidden="false" customHeight="true" outlineLevel="0" collapsed="false">
      <c r="B8" s="43" t="s">
        <v>82</v>
      </c>
      <c r="C8" s="43" t="s">
        <v>89</v>
      </c>
      <c r="D8" s="43" t="s">
        <v>90</v>
      </c>
      <c r="E8" s="43" t="s">
        <v>85</v>
      </c>
      <c r="F8" s="43"/>
      <c r="G8" s="43" t="s">
        <v>86</v>
      </c>
      <c r="H8" s="43" t="s">
        <v>87</v>
      </c>
      <c r="I8" s="43" t="s">
        <v>88</v>
      </c>
    </row>
    <row r="9" customFormat="false" ht="18.75" hidden="false" customHeight="true" outlineLevel="0" collapsed="false">
      <c r="B9" s="44" t="s">
        <v>82</v>
      </c>
      <c r="C9" s="44" t="s">
        <v>91</v>
      </c>
      <c r="D9" s="44" t="s">
        <v>92</v>
      </c>
      <c r="E9" s="44" t="s">
        <v>85</v>
      </c>
      <c r="F9" s="44"/>
      <c r="G9" s="44" t="s">
        <v>86</v>
      </c>
      <c r="H9" s="44"/>
      <c r="I9" s="44" t="s">
        <v>88</v>
      </c>
    </row>
    <row r="10" customFormat="false" ht="18.75" hidden="false" customHeight="true" outlineLevel="0" collapsed="false">
      <c r="B10" s="43" t="s">
        <v>82</v>
      </c>
      <c r="C10" s="43" t="s">
        <v>93</v>
      </c>
      <c r="D10" s="43" t="s">
        <v>94</v>
      </c>
      <c r="E10" s="43" t="s">
        <v>85</v>
      </c>
      <c r="F10" s="43"/>
      <c r="G10" s="43" t="s">
        <v>86</v>
      </c>
      <c r="H10" s="43"/>
      <c r="I10" s="43" t="s">
        <v>88</v>
      </c>
    </row>
    <row r="11" customFormat="false" ht="18.75" hidden="false" customHeight="true" outlineLevel="0" collapsed="false">
      <c r="B11" s="44" t="s">
        <v>82</v>
      </c>
      <c r="C11" s="44" t="s">
        <v>95</v>
      </c>
      <c r="D11" s="44" t="s">
        <v>96</v>
      </c>
      <c r="E11" s="44" t="s">
        <v>85</v>
      </c>
      <c r="F11" s="44"/>
      <c r="G11" s="44" t="s">
        <v>86</v>
      </c>
      <c r="H11" s="44"/>
      <c r="I11" s="44" t="s">
        <v>88</v>
      </c>
    </row>
    <row r="12" customFormat="false" ht="18.75" hidden="false" customHeight="true" outlineLevel="0" collapsed="false">
      <c r="B12" s="43" t="s">
        <v>82</v>
      </c>
      <c r="C12" s="43" t="s">
        <v>97</v>
      </c>
      <c r="D12" s="43" t="s">
        <v>98</v>
      </c>
      <c r="E12" s="43" t="s">
        <v>85</v>
      </c>
      <c r="F12" s="43"/>
      <c r="G12" s="43" t="s">
        <v>86</v>
      </c>
      <c r="H12" s="43"/>
      <c r="I12" s="43" t="s">
        <v>88</v>
      </c>
    </row>
    <row r="13" customFormat="false" ht="18.75" hidden="false" customHeight="true" outlineLevel="0" collapsed="false">
      <c r="B13" s="45" t="s">
        <v>99</v>
      </c>
      <c r="C13" s="45" t="s">
        <v>100</v>
      </c>
      <c r="D13" s="45" t="s">
        <v>101</v>
      </c>
      <c r="E13" s="45" t="s">
        <v>17</v>
      </c>
      <c r="F13" s="45"/>
      <c r="G13" s="45"/>
      <c r="H13" s="45" t="s">
        <v>87</v>
      </c>
      <c r="I13" s="45"/>
    </row>
    <row r="14" customFormat="false" ht="18.75" hidden="false" customHeight="true" outlineLevel="0" collapsed="false">
      <c r="B14" s="43" t="s">
        <v>102</v>
      </c>
      <c r="C14" s="43"/>
      <c r="D14" s="43"/>
      <c r="E14" s="43"/>
      <c r="F14" s="43"/>
      <c r="G14" s="43"/>
      <c r="H14" s="43"/>
      <c r="I14" s="43"/>
    </row>
    <row r="15" customFormat="false" ht="12.75" hidden="false" customHeight="true" outlineLevel="0" collapsed="false">
      <c r="I15" s="46"/>
    </row>
    <row r="17" customFormat="false" ht="18" hidden="false" customHeight="true" outlineLevel="0" collapsed="false">
      <c r="B17" s="35" t="s">
        <v>103</v>
      </c>
      <c r="C17" s="36"/>
      <c r="D17" s="36"/>
      <c r="E17" s="47"/>
      <c r="F17" s="47"/>
      <c r="G17" s="47"/>
      <c r="H17" s="47"/>
      <c r="I17" s="47"/>
    </row>
    <row r="18" customFormat="false" ht="12.75" hidden="false" customHeight="true" outlineLevel="0" collapsed="false">
      <c r="D18" s="47"/>
      <c r="E18" s="47"/>
      <c r="F18" s="47"/>
      <c r="G18" s="47"/>
      <c r="H18" s="47"/>
      <c r="I18" s="47"/>
    </row>
    <row r="19" customFormat="false" ht="12.75" hidden="false" customHeight="true" outlineLevel="0" collapsed="false">
      <c r="B19" s="38" t="s">
        <v>104</v>
      </c>
      <c r="C19" s="37"/>
      <c r="D19" s="37"/>
      <c r="E19" s="37"/>
      <c r="F19" s="37"/>
      <c r="G19" s="37"/>
      <c r="H19" s="37"/>
      <c r="I19" s="37"/>
    </row>
    <row r="20" customFormat="false" ht="12.75" hidden="false" customHeight="true" outlineLevel="0" collapsed="false">
      <c r="B20" s="39" t="s">
        <v>68</v>
      </c>
      <c r="C20" s="39" t="s">
        <v>69</v>
      </c>
      <c r="D20" s="39" t="s">
        <v>70</v>
      </c>
      <c r="E20" s="39" t="s">
        <v>60</v>
      </c>
      <c r="F20" s="39" t="s">
        <v>71</v>
      </c>
      <c r="G20" s="39" t="s">
        <v>72</v>
      </c>
      <c r="H20" s="39" t="s">
        <v>73</v>
      </c>
      <c r="I20" s="39" t="s">
        <v>74</v>
      </c>
    </row>
    <row r="21" customFormat="false" ht="38.25" hidden="false" customHeight="true" outlineLevel="0" collapsed="false">
      <c r="B21" s="41" t="s">
        <v>75</v>
      </c>
      <c r="C21" s="41" t="s">
        <v>76</v>
      </c>
      <c r="D21" s="41" t="s">
        <v>77</v>
      </c>
      <c r="E21" s="41" t="s">
        <v>60</v>
      </c>
      <c r="F21" s="41" t="s">
        <v>78</v>
      </c>
      <c r="G21" s="41" t="s">
        <v>79</v>
      </c>
      <c r="H21" s="41" t="s">
        <v>80</v>
      </c>
      <c r="I21" s="41" t="s">
        <v>81</v>
      </c>
    </row>
    <row r="22" customFormat="false" ht="12.75" hidden="false" customHeight="true" outlineLevel="0" collapsed="false">
      <c r="B22" s="48" t="s">
        <v>82</v>
      </c>
      <c r="C22" s="49" t="s">
        <v>105</v>
      </c>
      <c r="D22" s="48" t="s">
        <v>106</v>
      </c>
      <c r="E22" s="50" t="s">
        <v>85</v>
      </c>
      <c r="F22" s="51"/>
      <c r="G22" s="51"/>
      <c r="H22" s="51"/>
      <c r="I22" s="51"/>
    </row>
    <row r="23" customFormat="false" ht="12.75" hidden="false" customHeight="true" outlineLevel="0" collapsed="false">
      <c r="B23" s="52" t="s">
        <v>82</v>
      </c>
      <c r="C23" s="53" t="s">
        <v>107</v>
      </c>
      <c r="D23" s="52" t="s">
        <v>108</v>
      </c>
      <c r="E23" s="54" t="s">
        <v>85</v>
      </c>
      <c r="F23" s="55"/>
      <c r="G23" s="55"/>
      <c r="H23" s="55"/>
      <c r="I23" s="55"/>
    </row>
    <row r="24" customFormat="false" ht="12.75" hidden="false" customHeight="true" outlineLevel="0" collapsed="false">
      <c r="B24" s="48" t="s">
        <v>82</v>
      </c>
      <c r="C24" s="49" t="s">
        <v>109</v>
      </c>
      <c r="D24" s="48" t="s">
        <v>110</v>
      </c>
      <c r="E24" s="50" t="s">
        <v>85</v>
      </c>
      <c r="F24" s="51"/>
      <c r="G24" s="51"/>
      <c r="H24" s="51"/>
      <c r="I24" s="51"/>
    </row>
    <row r="25" customFormat="false" ht="12.75" hidden="false" customHeight="true" outlineLevel="0" collapsed="false">
      <c r="B25" s="56" t="s">
        <v>82</v>
      </c>
      <c r="C25" s="37" t="s">
        <v>111</v>
      </c>
      <c r="D25" s="56" t="s">
        <v>112</v>
      </c>
      <c r="E25" s="57" t="s">
        <v>85</v>
      </c>
      <c r="F25" s="58"/>
      <c r="G25" s="58"/>
      <c r="H25" s="58"/>
      <c r="I25" s="58"/>
    </row>
    <row r="26" customFormat="false" ht="12.75" hidden="false" customHeight="true" outlineLevel="0" collapsed="false">
      <c r="B26" s="48" t="s">
        <v>82</v>
      </c>
      <c r="C26" s="49" t="s">
        <v>113</v>
      </c>
      <c r="D26" s="48" t="s">
        <v>114</v>
      </c>
      <c r="E26" s="50" t="s">
        <v>85</v>
      </c>
      <c r="F26" s="51"/>
      <c r="G26" s="51"/>
      <c r="H26" s="51"/>
      <c r="I26" s="51"/>
    </row>
    <row r="27" customFormat="false" ht="12.75" hidden="false" customHeight="true" outlineLevel="0" collapsed="false">
      <c r="B27" s="56" t="s">
        <v>82</v>
      </c>
      <c r="C27" s="37" t="s">
        <v>115</v>
      </c>
      <c r="D27" s="56" t="s">
        <v>116</v>
      </c>
      <c r="E27" s="57" t="s">
        <v>85</v>
      </c>
      <c r="F27" s="58"/>
      <c r="G27" s="58"/>
      <c r="H27" s="58"/>
      <c r="I27" s="58"/>
    </row>
    <row r="28" customFormat="false" ht="12.75" hidden="false" customHeight="true" outlineLevel="0" collapsed="false">
      <c r="B28" s="48" t="s">
        <v>82</v>
      </c>
      <c r="C28" s="49" t="s">
        <v>117</v>
      </c>
      <c r="D28" s="49" t="s">
        <v>117</v>
      </c>
      <c r="E28" s="50" t="s">
        <v>85</v>
      </c>
      <c r="F28" s="51"/>
      <c r="G28" s="51"/>
      <c r="H28" s="51"/>
      <c r="I28" s="51"/>
    </row>
    <row r="29" customFormat="false" ht="12.75" hidden="false" customHeight="true" outlineLevel="0" collapsed="false">
      <c r="B29" s="56" t="s">
        <v>82</v>
      </c>
      <c r="C29" s="37" t="s">
        <v>118</v>
      </c>
      <c r="D29" s="37" t="s">
        <v>119</v>
      </c>
      <c r="E29" s="57" t="s">
        <v>85</v>
      </c>
      <c r="F29" s="58"/>
      <c r="G29" s="58"/>
      <c r="H29" s="58"/>
      <c r="I29" s="58"/>
    </row>
    <row r="30" customFormat="false" ht="12.75" hidden="false" customHeight="true" outlineLevel="0" collapsed="false">
      <c r="B30" s="48" t="s">
        <v>82</v>
      </c>
      <c r="C30" s="49" t="s">
        <v>120</v>
      </c>
      <c r="D30" s="49" t="s">
        <v>120</v>
      </c>
      <c r="E30" s="50" t="s">
        <v>85</v>
      </c>
      <c r="F30" s="51"/>
      <c r="G30" s="51"/>
      <c r="H30" s="51"/>
      <c r="I30" s="51"/>
    </row>
    <row r="31" customFormat="false" ht="12.75" hidden="false" customHeight="true" outlineLevel="0" collapsed="false">
      <c r="B31" s="56" t="s">
        <v>82</v>
      </c>
      <c r="C31" s="37" t="s">
        <v>121</v>
      </c>
      <c r="D31" s="37" t="s">
        <v>121</v>
      </c>
      <c r="E31" s="57" t="s">
        <v>85</v>
      </c>
      <c r="F31" s="58"/>
      <c r="G31" s="58"/>
      <c r="H31" s="58"/>
      <c r="I31" s="58"/>
    </row>
    <row r="32" customFormat="false" ht="12.75" hidden="false" customHeight="true" outlineLevel="0" collapsed="false">
      <c r="B32" s="48" t="s">
        <v>82</v>
      </c>
      <c r="C32" s="49" t="s">
        <v>122</v>
      </c>
      <c r="D32" s="49" t="s">
        <v>123</v>
      </c>
      <c r="E32" s="50" t="s">
        <v>85</v>
      </c>
      <c r="F32" s="51"/>
      <c r="G32" s="51"/>
      <c r="H32" s="51"/>
      <c r="I32" s="51"/>
    </row>
    <row r="33" customFormat="false" ht="12.75" hidden="false" customHeight="true" outlineLevel="0" collapsed="false">
      <c r="B33" s="56" t="s">
        <v>82</v>
      </c>
      <c r="C33" s="37" t="s">
        <v>124</v>
      </c>
      <c r="D33" s="56" t="s">
        <v>125</v>
      </c>
      <c r="E33" s="57" t="s">
        <v>85</v>
      </c>
      <c r="F33" s="58"/>
      <c r="G33" s="58"/>
      <c r="H33" s="58"/>
      <c r="I33" s="58"/>
    </row>
    <row r="34" customFormat="false" ht="12.75" hidden="false" customHeight="true" outlineLevel="0" collapsed="false">
      <c r="B34" s="48" t="s">
        <v>82</v>
      </c>
      <c r="C34" s="49" t="s">
        <v>126</v>
      </c>
      <c r="D34" s="48" t="s">
        <v>127</v>
      </c>
      <c r="E34" s="50" t="s">
        <v>85</v>
      </c>
      <c r="F34" s="51"/>
      <c r="G34" s="51"/>
      <c r="H34" s="51"/>
      <c r="I34" s="51"/>
    </row>
    <row r="35" customFormat="false" ht="12.75" hidden="false" customHeight="true" outlineLevel="0" collapsed="false">
      <c r="B35" s="56" t="s">
        <v>82</v>
      </c>
      <c r="C35" s="37" t="s">
        <v>128</v>
      </c>
      <c r="D35" s="56" t="s">
        <v>129</v>
      </c>
      <c r="E35" s="57" t="s">
        <v>85</v>
      </c>
      <c r="F35" s="58"/>
      <c r="G35" s="58"/>
      <c r="H35" s="58"/>
      <c r="I35" s="58"/>
    </row>
    <row r="36" customFormat="false" ht="12.75" hidden="false" customHeight="true" outlineLevel="0" collapsed="false">
      <c r="B36" s="48" t="s">
        <v>82</v>
      </c>
      <c r="C36" s="49" t="s">
        <v>130</v>
      </c>
      <c r="D36" s="48" t="s">
        <v>131</v>
      </c>
      <c r="E36" s="50" t="s">
        <v>85</v>
      </c>
      <c r="F36" s="51"/>
      <c r="G36" s="51"/>
      <c r="H36" s="51"/>
      <c r="I36" s="51"/>
    </row>
    <row r="37" customFormat="false" ht="12.75" hidden="false" customHeight="true" outlineLevel="0" collapsed="false">
      <c r="B37" s="52" t="s">
        <v>82</v>
      </c>
      <c r="C37" s="53" t="s">
        <v>132</v>
      </c>
      <c r="D37" s="52" t="s">
        <v>133</v>
      </c>
      <c r="E37" s="54" t="s">
        <v>85</v>
      </c>
      <c r="F37" s="55"/>
      <c r="G37" s="55"/>
      <c r="H37" s="55"/>
      <c r="I37" s="55"/>
    </row>
    <row r="38" customFormat="false" ht="12.75" hidden="false" customHeight="true" outlineLevel="0" collapsed="false">
      <c r="B38" s="48" t="s">
        <v>82</v>
      </c>
      <c r="C38" s="49" t="s">
        <v>134</v>
      </c>
      <c r="D38" s="48" t="s">
        <v>135</v>
      </c>
      <c r="E38" s="50" t="s">
        <v>85</v>
      </c>
      <c r="F38" s="51"/>
      <c r="G38" s="51"/>
      <c r="H38" s="51"/>
      <c r="I38" s="51"/>
    </row>
    <row r="39" customFormat="false" ht="12.75" hidden="false" customHeight="true" outlineLevel="0" collapsed="false">
      <c r="B39" s="52" t="s">
        <v>82</v>
      </c>
      <c r="C39" s="53" t="s">
        <v>136</v>
      </c>
      <c r="D39" s="52" t="s">
        <v>136</v>
      </c>
      <c r="E39" s="54" t="s">
        <v>85</v>
      </c>
      <c r="F39" s="55"/>
      <c r="G39" s="55"/>
      <c r="H39" s="55"/>
      <c r="I39" s="55"/>
    </row>
    <row r="40" customFormat="false" ht="12.75" hidden="false" customHeight="true" outlineLevel="0" collapsed="false">
      <c r="B40" s="48" t="s">
        <v>82</v>
      </c>
      <c r="C40" s="49" t="s">
        <v>137</v>
      </c>
      <c r="D40" s="48" t="s">
        <v>138</v>
      </c>
      <c r="E40" s="50" t="s">
        <v>85</v>
      </c>
      <c r="F40" s="51"/>
      <c r="G40" s="51"/>
      <c r="H40" s="51"/>
      <c r="I40" s="51"/>
    </row>
    <row r="41" customFormat="false" ht="12.75" hidden="false" customHeight="true" outlineLevel="0" collapsed="false">
      <c r="B41" s="52" t="s">
        <v>82</v>
      </c>
      <c r="C41" s="53" t="s">
        <v>139</v>
      </c>
      <c r="D41" s="52" t="s">
        <v>140</v>
      </c>
      <c r="E41" s="54" t="s">
        <v>85</v>
      </c>
      <c r="F41" s="55"/>
      <c r="G41" s="55"/>
      <c r="H41" s="55"/>
      <c r="I41" s="55"/>
    </row>
    <row r="42" customFormat="false" ht="12.75" hidden="false" customHeight="true" outlineLevel="0" collapsed="false">
      <c r="B42" s="48" t="s">
        <v>82</v>
      </c>
      <c r="C42" s="49" t="s">
        <v>141</v>
      </c>
      <c r="D42" s="48" t="s">
        <v>142</v>
      </c>
      <c r="E42" s="50" t="s">
        <v>85</v>
      </c>
      <c r="F42" s="51"/>
      <c r="G42" s="51"/>
      <c r="H42" s="51"/>
      <c r="I42" s="51"/>
    </row>
    <row r="43" customFormat="false" ht="13.5" hidden="false" customHeight="true" outlineLevel="0" collapsed="false">
      <c r="B43" s="59" t="s">
        <v>82</v>
      </c>
      <c r="C43" s="60" t="s">
        <v>143</v>
      </c>
      <c r="D43" s="59" t="s">
        <v>143</v>
      </c>
      <c r="E43" s="61" t="s">
        <v>85</v>
      </c>
      <c r="F43" s="62"/>
      <c r="G43" s="62"/>
      <c r="H43" s="62"/>
      <c r="I43" s="62"/>
    </row>
    <row r="47" customFormat="false" ht="13.5" hidden="false" customHeight="true" outlineLevel="0" collapsed="false">
      <c r="B47" s="63" t="s">
        <v>144</v>
      </c>
      <c r="C47" s="63"/>
    </row>
    <row r="48" customFormat="false" ht="12.75" hidden="false" customHeight="true" outlineLevel="0" collapsed="false">
      <c r="B48" s="64" t="s">
        <v>82</v>
      </c>
      <c r="C48" s="64" t="s">
        <v>145</v>
      </c>
    </row>
    <row r="49" customFormat="false" ht="12.75" hidden="false" customHeight="true" outlineLevel="0" collapsed="false">
      <c r="B49" s="65" t="s">
        <v>99</v>
      </c>
      <c r="C49" s="65" t="s">
        <v>146</v>
      </c>
    </row>
    <row r="50" customFormat="false" ht="12.75" hidden="false" customHeight="true" outlineLevel="0" collapsed="false">
      <c r="B50" s="66" t="s">
        <v>147</v>
      </c>
      <c r="C50" s="66" t="s">
        <v>148</v>
      </c>
    </row>
    <row r="51" customFormat="false" ht="12.75" hidden="false" customHeight="true" outlineLevel="0" collapsed="false">
      <c r="B51" s="65" t="s">
        <v>149</v>
      </c>
      <c r="C51" s="65" t="s">
        <v>150</v>
      </c>
    </row>
    <row r="52" customFormat="false" ht="13.5" hidden="false" customHeight="true" outlineLevel="0" collapsed="false">
      <c r="B52" s="67" t="s">
        <v>151</v>
      </c>
      <c r="C52" s="67" t="s">
        <v>152</v>
      </c>
    </row>
  </sheetData>
  <mergeCells count="1">
    <mergeCell ref="B47:C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F52" activeCellId="0" sqref="F52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1.42"/>
    <col collapsed="false" customWidth="true" hidden="false" outlineLevel="0" max="2" min="2" style="1" width="16"/>
    <col collapsed="false" customWidth="true" hidden="false" outlineLevel="0" max="3" min="3" style="1" width="16.29"/>
    <col collapsed="false" customWidth="true" hidden="false" outlineLevel="0" max="4" min="4" style="1" width="38.14"/>
    <col collapsed="false" customWidth="true" hidden="false" outlineLevel="0" max="5" min="5" style="1" width="58"/>
    <col collapsed="false" customWidth="true" hidden="false" outlineLevel="0" max="10" min="6" style="1" width="21.84"/>
    <col collapsed="false" customWidth="true" hidden="false" outlineLevel="0" max="12" min="12" style="1" width="13.57"/>
  </cols>
  <sheetData>
    <row r="1" customFormat="false" ht="12.75" hidden="false" customHeight="true" outlineLevel="0" collapsed="false">
      <c r="B1" s="68"/>
      <c r="C1" s="69"/>
      <c r="D1" s="69"/>
    </row>
    <row r="2" customFormat="false" ht="18.75" hidden="false" customHeight="true" outlineLevel="0" collapsed="false">
      <c r="A2" s="70"/>
      <c r="B2" s="71" t="s">
        <v>153</v>
      </c>
      <c r="C2" s="71"/>
      <c r="D2" s="71"/>
      <c r="E2" s="58"/>
      <c r="F2" s="58"/>
      <c r="G2" s="58"/>
      <c r="H2" s="58"/>
      <c r="I2" s="58"/>
      <c r="J2" s="58"/>
    </row>
    <row r="3" customFormat="false" ht="12.75" hidden="false" customHeight="true" outlineLevel="0" collapsed="false"/>
    <row r="4" customFormat="false" ht="18" hidden="false" customHeight="true" outlineLevel="0" collapsed="false">
      <c r="B4" s="38" t="s">
        <v>154</v>
      </c>
      <c r="C4" s="38"/>
      <c r="D4" s="58"/>
      <c r="E4" s="58"/>
      <c r="F4" s="58"/>
      <c r="G4" s="58"/>
      <c r="H4" s="58"/>
      <c r="I4" s="58"/>
      <c r="J4" s="58"/>
    </row>
    <row r="5" customFormat="false" ht="15.75" hidden="false" customHeight="true" outlineLevel="0" collapsed="false">
      <c r="B5" s="39" t="s">
        <v>155</v>
      </c>
      <c r="C5" s="39" t="s">
        <v>156</v>
      </c>
      <c r="D5" s="39" t="s">
        <v>157</v>
      </c>
      <c r="E5" s="39" t="s">
        <v>158</v>
      </c>
      <c r="F5" s="39" t="s">
        <v>159</v>
      </c>
      <c r="G5" s="39" t="s">
        <v>160</v>
      </c>
      <c r="H5" s="39" t="s">
        <v>161</v>
      </c>
      <c r="I5" s="39" t="s">
        <v>162</v>
      </c>
      <c r="J5" s="39" t="s">
        <v>163</v>
      </c>
    </row>
    <row r="6" customFormat="false" ht="30" hidden="false" customHeight="true" outlineLevel="0" collapsed="false">
      <c r="B6" s="41" t="s">
        <v>164</v>
      </c>
      <c r="C6" s="41" t="s">
        <v>165</v>
      </c>
      <c r="D6" s="41" t="s">
        <v>166</v>
      </c>
      <c r="E6" s="41" t="s">
        <v>167</v>
      </c>
      <c r="F6" s="41" t="s">
        <v>168</v>
      </c>
      <c r="G6" s="41" t="s">
        <v>169</v>
      </c>
      <c r="H6" s="41" t="s">
        <v>79</v>
      </c>
      <c r="I6" s="41" t="s">
        <v>170</v>
      </c>
      <c r="J6" s="41" t="s">
        <v>171</v>
      </c>
    </row>
    <row r="7" customFormat="false" ht="18.75" hidden="false" customHeight="true" outlineLevel="0" collapsed="false">
      <c r="B7" s="72" t="s">
        <v>102</v>
      </c>
      <c r="C7" s="73" t="s">
        <v>172</v>
      </c>
      <c r="D7" s="73" t="s">
        <v>173</v>
      </c>
      <c r="E7" s="73" t="s">
        <v>174</v>
      </c>
      <c r="F7" s="73" t="s">
        <v>85</v>
      </c>
      <c r="G7" s="73" t="s">
        <v>175</v>
      </c>
      <c r="H7" s="73" t="s">
        <v>87</v>
      </c>
      <c r="I7" s="73"/>
      <c r="J7" s="73"/>
    </row>
    <row r="8" customFormat="false" ht="18.75" hidden="false" customHeight="true" outlineLevel="0" collapsed="false">
      <c r="B8" s="48" t="s">
        <v>102</v>
      </c>
      <c r="C8" s="74" t="s">
        <v>172</v>
      </c>
      <c r="D8" s="74" t="s">
        <v>176</v>
      </c>
      <c r="E8" s="74" t="s">
        <v>177</v>
      </c>
      <c r="F8" s="74" t="s">
        <v>85</v>
      </c>
      <c r="G8" s="74" t="s">
        <v>175</v>
      </c>
      <c r="H8" s="74" t="s">
        <v>87</v>
      </c>
      <c r="I8" s="74"/>
      <c r="J8" s="74"/>
    </row>
    <row r="9" customFormat="false" ht="18.75" hidden="false" customHeight="true" outlineLevel="0" collapsed="false">
      <c r="B9" s="52" t="s">
        <v>102</v>
      </c>
      <c r="C9" s="75" t="s">
        <v>172</v>
      </c>
      <c r="D9" s="75" t="s">
        <v>178</v>
      </c>
      <c r="E9" s="44" t="s">
        <v>179</v>
      </c>
      <c r="F9" s="75" t="s">
        <v>85</v>
      </c>
      <c r="G9" s="75" t="s">
        <v>175</v>
      </c>
      <c r="H9" s="75" t="s">
        <v>87</v>
      </c>
      <c r="I9" s="75"/>
      <c r="J9" s="75"/>
    </row>
    <row r="10" customFormat="false" ht="18.75" hidden="false" customHeight="true" outlineLevel="0" collapsed="false">
      <c r="B10" s="48" t="s">
        <v>102</v>
      </c>
      <c r="C10" s="49"/>
      <c r="D10" s="48"/>
      <c r="E10" s="50"/>
      <c r="F10" s="51"/>
      <c r="G10" s="51"/>
      <c r="H10" s="51"/>
      <c r="I10" s="51"/>
      <c r="J10" s="51"/>
    </row>
    <row r="11" customFormat="false" ht="18.75" hidden="false" customHeight="true" outlineLevel="0" collapsed="false">
      <c r="B11" s="44" t="s">
        <v>180</v>
      </c>
      <c r="C11" s="75" t="s">
        <v>172</v>
      </c>
      <c r="D11" s="75" t="s">
        <v>181</v>
      </c>
      <c r="E11" s="75" t="s">
        <v>182</v>
      </c>
      <c r="F11" s="75" t="s">
        <v>85</v>
      </c>
      <c r="G11" s="75" t="s">
        <v>175</v>
      </c>
      <c r="H11" s="75" t="s">
        <v>86</v>
      </c>
      <c r="I11" s="75"/>
      <c r="J11" s="75"/>
    </row>
    <row r="12" customFormat="false" ht="18.75" hidden="false" customHeight="true" outlineLevel="0" collapsed="false">
      <c r="B12" s="43" t="s">
        <v>180</v>
      </c>
      <c r="C12" s="74" t="s">
        <v>172</v>
      </c>
      <c r="D12" s="74" t="s">
        <v>183</v>
      </c>
      <c r="E12" s="74" t="s">
        <v>184</v>
      </c>
      <c r="F12" s="74" t="s">
        <v>85</v>
      </c>
      <c r="G12" s="74" t="s">
        <v>175</v>
      </c>
      <c r="H12" s="74" t="s">
        <v>86</v>
      </c>
      <c r="I12" s="74"/>
      <c r="J12" s="74"/>
    </row>
    <row r="13" customFormat="false" ht="18.75" hidden="false" customHeight="true" outlineLevel="0" collapsed="false">
      <c r="B13" s="44" t="s">
        <v>180</v>
      </c>
      <c r="C13" s="75" t="s">
        <v>172</v>
      </c>
      <c r="D13" s="75" t="s">
        <v>185</v>
      </c>
      <c r="E13" s="75" t="s">
        <v>186</v>
      </c>
      <c r="F13" s="75" t="s">
        <v>85</v>
      </c>
      <c r="G13" s="75" t="s">
        <v>175</v>
      </c>
      <c r="H13" s="75" t="s">
        <v>86</v>
      </c>
      <c r="I13" s="75"/>
      <c r="J13" s="75"/>
    </row>
    <row r="14" customFormat="false" ht="18.75" hidden="false" customHeight="true" outlineLevel="0" collapsed="false">
      <c r="B14" s="43" t="s">
        <v>180</v>
      </c>
      <c r="C14" s="74" t="s">
        <v>172</v>
      </c>
      <c r="D14" s="74" t="s">
        <v>187</v>
      </c>
      <c r="E14" s="74" t="s">
        <v>188</v>
      </c>
      <c r="F14" s="74" t="s">
        <v>85</v>
      </c>
      <c r="G14" s="74" t="s">
        <v>175</v>
      </c>
      <c r="H14" s="74" t="s">
        <v>86</v>
      </c>
      <c r="I14" s="74"/>
      <c r="J14" s="74"/>
    </row>
    <row r="15" customFormat="false" ht="18.75" hidden="false" customHeight="true" outlineLevel="0" collapsed="false">
      <c r="B15" s="44" t="s">
        <v>180</v>
      </c>
      <c r="C15" s="75" t="s">
        <v>172</v>
      </c>
      <c r="D15" s="75" t="s">
        <v>189</v>
      </c>
      <c r="E15" s="75" t="s">
        <v>190</v>
      </c>
      <c r="F15" s="75" t="s">
        <v>85</v>
      </c>
      <c r="G15" s="75" t="s">
        <v>175</v>
      </c>
      <c r="H15" s="75" t="s">
        <v>86</v>
      </c>
      <c r="I15" s="75"/>
      <c r="J15" s="75"/>
    </row>
    <row r="16" customFormat="false" ht="18.75" hidden="false" customHeight="true" outlineLevel="0" collapsed="false">
      <c r="B16" s="43" t="s">
        <v>180</v>
      </c>
      <c r="C16" s="74" t="s">
        <v>172</v>
      </c>
      <c r="D16" s="74" t="s">
        <v>191</v>
      </c>
      <c r="E16" s="74" t="s">
        <v>192</v>
      </c>
      <c r="F16" s="74" t="s">
        <v>85</v>
      </c>
      <c r="G16" s="74" t="s">
        <v>175</v>
      </c>
      <c r="H16" s="74" t="s">
        <v>86</v>
      </c>
      <c r="I16" s="74"/>
      <c r="J16" s="74"/>
    </row>
    <row r="17" customFormat="false" ht="18.75" hidden="false" customHeight="true" outlineLevel="0" collapsed="false">
      <c r="B17" s="44" t="s">
        <v>180</v>
      </c>
      <c r="C17" s="75" t="s">
        <v>172</v>
      </c>
      <c r="D17" s="75" t="s">
        <v>193</v>
      </c>
      <c r="E17" s="75" t="s">
        <v>194</v>
      </c>
      <c r="F17" s="75" t="s">
        <v>85</v>
      </c>
      <c r="G17" s="75" t="s">
        <v>175</v>
      </c>
      <c r="H17" s="75" t="s">
        <v>195</v>
      </c>
      <c r="I17" s="75"/>
      <c r="J17" s="75"/>
    </row>
    <row r="18" customFormat="false" ht="18.75" hidden="false" customHeight="true" outlineLevel="0" collapsed="false">
      <c r="B18" s="43" t="s">
        <v>180</v>
      </c>
      <c r="C18" s="74" t="s">
        <v>172</v>
      </c>
      <c r="D18" s="74" t="s">
        <v>196</v>
      </c>
      <c r="E18" s="74" t="s">
        <v>197</v>
      </c>
      <c r="F18" s="74" t="s">
        <v>85</v>
      </c>
      <c r="G18" s="74" t="s">
        <v>175</v>
      </c>
      <c r="H18" s="74" t="s">
        <v>86</v>
      </c>
      <c r="I18" s="74"/>
      <c r="J18" s="74"/>
    </row>
    <row r="19" customFormat="false" ht="18.75" hidden="false" customHeight="true" outlineLevel="0" collapsed="false">
      <c r="B19" s="44" t="s">
        <v>180</v>
      </c>
      <c r="C19" s="75" t="s">
        <v>172</v>
      </c>
      <c r="D19" s="75" t="s">
        <v>198</v>
      </c>
      <c r="E19" s="75" t="s">
        <v>199</v>
      </c>
      <c r="F19" s="75" t="s">
        <v>85</v>
      </c>
      <c r="G19" s="75" t="s">
        <v>175</v>
      </c>
      <c r="H19" s="75" t="s">
        <v>195</v>
      </c>
      <c r="I19" s="75"/>
      <c r="J19" s="75"/>
    </row>
    <row r="20" customFormat="false" ht="18.75" hidden="false" customHeight="true" outlineLevel="0" collapsed="false">
      <c r="B20" s="43" t="s">
        <v>200</v>
      </c>
      <c r="C20" s="74" t="s">
        <v>172</v>
      </c>
      <c r="D20" s="74" t="s">
        <v>201</v>
      </c>
      <c r="E20" s="74" t="s">
        <v>202</v>
      </c>
      <c r="F20" s="74" t="s">
        <v>85</v>
      </c>
      <c r="G20" s="74" t="s">
        <v>175</v>
      </c>
      <c r="H20" s="74" t="s">
        <v>86</v>
      </c>
      <c r="I20" s="74"/>
      <c r="J20" s="74"/>
    </row>
    <row r="21" customFormat="false" ht="18.75" hidden="false" customHeight="true" outlineLevel="0" collapsed="false">
      <c r="B21" s="44" t="s">
        <v>180</v>
      </c>
      <c r="C21" s="75" t="s">
        <v>172</v>
      </c>
      <c r="D21" s="75" t="s">
        <v>203</v>
      </c>
      <c r="E21" s="75" t="s">
        <v>204</v>
      </c>
      <c r="F21" s="75" t="s">
        <v>85</v>
      </c>
      <c r="G21" s="75" t="s">
        <v>175</v>
      </c>
      <c r="H21" s="75" t="s">
        <v>195</v>
      </c>
      <c r="I21" s="75"/>
      <c r="J21" s="75"/>
    </row>
    <row r="22" customFormat="false" ht="18.75" hidden="false" customHeight="true" outlineLevel="0" collapsed="false">
      <c r="B22" s="43" t="s">
        <v>205</v>
      </c>
      <c r="C22" s="74" t="s">
        <v>172</v>
      </c>
      <c r="D22" s="74" t="s">
        <v>206</v>
      </c>
      <c r="E22" s="74" t="s">
        <v>207</v>
      </c>
      <c r="F22" s="74" t="s">
        <v>85</v>
      </c>
      <c r="G22" s="74" t="s">
        <v>175</v>
      </c>
      <c r="H22" s="74" t="s">
        <v>86</v>
      </c>
      <c r="I22" s="74"/>
      <c r="J22" s="74"/>
    </row>
    <row r="23" customFormat="false" ht="18.75" hidden="false" customHeight="true" outlineLevel="0" collapsed="false">
      <c r="B23" s="44" t="s">
        <v>208</v>
      </c>
      <c r="C23" s="75" t="s">
        <v>172</v>
      </c>
      <c r="D23" s="75" t="s">
        <v>209</v>
      </c>
      <c r="E23" s="75" t="s">
        <v>210</v>
      </c>
      <c r="F23" s="75" t="s">
        <v>85</v>
      </c>
      <c r="G23" s="75" t="s">
        <v>175</v>
      </c>
      <c r="H23" s="75" t="s">
        <v>86</v>
      </c>
      <c r="I23" s="75"/>
      <c r="J23" s="75"/>
    </row>
    <row r="24" customFormat="false" ht="18.75" hidden="false" customHeight="true" outlineLevel="0" collapsed="false">
      <c r="A24" s="76"/>
      <c r="B24" s="43" t="s">
        <v>211</v>
      </c>
      <c r="C24" s="74" t="s">
        <v>172</v>
      </c>
      <c r="D24" s="74" t="s">
        <v>212</v>
      </c>
      <c r="E24" s="74" t="s">
        <v>213</v>
      </c>
      <c r="F24" s="74" t="s">
        <v>85</v>
      </c>
      <c r="G24" s="74" t="s">
        <v>175</v>
      </c>
      <c r="H24" s="74" t="s">
        <v>86</v>
      </c>
      <c r="I24" s="74"/>
      <c r="J24" s="74"/>
    </row>
    <row r="25" customFormat="false" ht="18.75" hidden="false" customHeight="true" outlineLevel="0" collapsed="false">
      <c r="A25" s="76"/>
      <c r="B25" s="44" t="s">
        <v>211</v>
      </c>
      <c r="C25" s="75" t="s">
        <v>172</v>
      </c>
      <c r="D25" s="75" t="s">
        <v>214</v>
      </c>
      <c r="E25" s="75" t="s">
        <v>215</v>
      </c>
      <c r="F25" s="75" t="s">
        <v>85</v>
      </c>
      <c r="G25" s="75" t="s">
        <v>175</v>
      </c>
      <c r="H25" s="75" t="s">
        <v>86</v>
      </c>
      <c r="I25" s="75"/>
      <c r="J25" s="75"/>
    </row>
    <row r="26" customFormat="false" ht="18.75" hidden="false" customHeight="true" outlineLevel="0" collapsed="false">
      <c r="A26" s="77"/>
      <c r="B26" s="44" t="s">
        <v>211</v>
      </c>
      <c r="C26" s="75" t="s">
        <v>172</v>
      </c>
      <c r="D26" s="75" t="s">
        <v>216</v>
      </c>
      <c r="E26" s="75" t="s">
        <v>217</v>
      </c>
      <c r="F26" s="75" t="s">
        <v>85</v>
      </c>
      <c r="G26" s="75" t="s">
        <v>175</v>
      </c>
      <c r="H26" s="75" t="s">
        <v>86</v>
      </c>
      <c r="I26" s="75"/>
      <c r="J26" s="75"/>
    </row>
    <row r="27" customFormat="false" ht="18.75" hidden="false" customHeight="true" outlineLevel="0" collapsed="false">
      <c r="A27" s="77"/>
      <c r="B27" s="44" t="s">
        <v>211</v>
      </c>
      <c r="C27" s="75" t="s">
        <v>172</v>
      </c>
      <c r="D27" s="75" t="s">
        <v>218</v>
      </c>
      <c r="E27" s="75" t="s">
        <v>219</v>
      </c>
      <c r="F27" s="75" t="s">
        <v>85</v>
      </c>
      <c r="G27" s="75" t="s">
        <v>175</v>
      </c>
      <c r="H27" s="75" t="s">
        <v>86</v>
      </c>
      <c r="I27" s="75"/>
      <c r="J27" s="75"/>
    </row>
    <row r="28" customFormat="false" ht="18.75" hidden="false" customHeight="true" outlineLevel="0" collapsed="false">
      <c r="A28" s="77"/>
      <c r="B28" s="44" t="s">
        <v>211</v>
      </c>
      <c r="C28" s="75" t="s">
        <v>172</v>
      </c>
      <c r="D28" s="75" t="s">
        <v>220</v>
      </c>
      <c r="E28" s="75" t="s">
        <v>221</v>
      </c>
      <c r="F28" s="75" t="s">
        <v>85</v>
      </c>
      <c r="G28" s="75" t="s">
        <v>175</v>
      </c>
      <c r="H28" s="75" t="s">
        <v>86</v>
      </c>
      <c r="I28" s="75"/>
      <c r="J28" s="75"/>
    </row>
    <row r="29" customFormat="false" ht="18.75" hidden="false" customHeight="true" outlineLevel="0" collapsed="false">
      <c r="A29" s="76"/>
      <c r="B29" s="43" t="s">
        <v>211</v>
      </c>
      <c r="C29" s="74" t="s">
        <v>172</v>
      </c>
      <c r="D29" s="74" t="s">
        <v>222</v>
      </c>
      <c r="E29" s="74" t="s">
        <v>223</v>
      </c>
      <c r="F29" s="74" t="s">
        <v>85</v>
      </c>
      <c r="G29" s="74" t="s">
        <v>224</v>
      </c>
      <c r="H29" s="74" t="s">
        <v>87</v>
      </c>
      <c r="I29" s="74"/>
      <c r="J29" s="74"/>
    </row>
    <row r="30" customFormat="false" ht="18.75" hidden="false" customHeight="true" outlineLevel="0" collapsed="false">
      <c r="A30" s="76"/>
      <c r="B30" s="44"/>
      <c r="C30" s="75"/>
      <c r="D30" s="75"/>
      <c r="E30" s="75"/>
      <c r="F30" s="75"/>
      <c r="G30" s="75"/>
      <c r="H30" s="75"/>
      <c r="I30" s="75"/>
      <c r="J30" s="75"/>
    </row>
    <row r="31" customFormat="false" ht="18.75" hidden="false" customHeight="true" outlineLevel="0" collapsed="false">
      <c r="I31" s="75"/>
      <c r="J31" s="75"/>
    </row>
    <row r="33" customFormat="false" ht="12.75" hidden="false" customHeight="true" outlineLevel="0" collapsed="false">
      <c r="B33" s="78" t="s">
        <v>225</v>
      </c>
      <c r="C33" s="78"/>
      <c r="D33" s="78"/>
    </row>
    <row r="34" customFormat="false" ht="12.75" hidden="false" customHeight="true" outlineLevel="0" collapsed="false">
      <c r="B34" s="66" t="s">
        <v>180</v>
      </c>
      <c r="C34" s="66" t="s">
        <v>226</v>
      </c>
      <c r="D34" s="66"/>
    </row>
    <row r="35" customFormat="false" ht="12.75" hidden="false" customHeight="true" outlineLevel="0" collapsed="false">
      <c r="B35" s="65" t="s">
        <v>227</v>
      </c>
      <c r="C35" s="65" t="s">
        <v>228</v>
      </c>
      <c r="D35" s="65"/>
    </row>
    <row r="36" customFormat="false" ht="12.75" hidden="false" customHeight="true" outlineLevel="0" collapsed="false">
      <c r="B36" s="66" t="s">
        <v>200</v>
      </c>
      <c r="C36" s="66" t="s">
        <v>229</v>
      </c>
      <c r="D36" s="66"/>
    </row>
    <row r="37" customFormat="false" ht="12.75" hidden="false" customHeight="true" outlineLevel="0" collapsed="false">
      <c r="B37" s="65" t="s">
        <v>211</v>
      </c>
      <c r="C37" s="65" t="s">
        <v>230</v>
      </c>
      <c r="D37" s="65"/>
    </row>
    <row r="38" customFormat="false" ht="12.75" hidden="false" customHeight="true" outlineLevel="0" collapsed="false">
      <c r="B38" s="66" t="s">
        <v>231</v>
      </c>
      <c r="C38" s="66" t="s">
        <v>232</v>
      </c>
      <c r="D38" s="66" t="s">
        <v>233</v>
      </c>
      <c r="F38" s="66" t="s">
        <v>234</v>
      </c>
    </row>
    <row r="39" customFormat="false" ht="12.75" hidden="false" customHeight="true" outlineLevel="0" collapsed="false">
      <c r="B39" s="65" t="s">
        <v>205</v>
      </c>
      <c r="C39" s="65" t="s">
        <v>235</v>
      </c>
      <c r="D39" s="65" t="s">
        <v>236</v>
      </c>
    </row>
    <row r="40" customFormat="false" ht="12.75" hidden="false" customHeight="true" outlineLevel="0" collapsed="false">
      <c r="B40" s="66" t="s">
        <v>208</v>
      </c>
      <c r="C40" s="66" t="s">
        <v>237</v>
      </c>
      <c r="D40" s="66" t="s">
        <v>238</v>
      </c>
    </row>
    <row r="41" customFormat="false" ht="12.75" hidden="false" customHeight="true" outlineLevel="0" collapsed="false">
      <c r="B41" s="65" t="s">
        <v>239</v>
      </c>
      <c r="C41" s="65" t="s">
        <v>240</v>
      </c>
      <c r="D41" s="65" t="s">
        <v>236</v>
      </c>
    </row>
    <row r="42" customFormat="false" ht="13.5" hidden="false" customHeight="true" outlineLevel="0" collapsed="false">
      <c r="B42" s="67" t="s">
        <v>241</v>
      </c>
      <c r="C42" s="67" t="s">
        <v>242</v>
      </c>
      <c r="D42" s="67"/>
    </row>
  </sheetData>
  <mergeCells count="1">
    <mergeCell ref="B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6" activeCellId="0" sqref="O6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17.86"/>
    <col collapsed="false" customWidth="true" hidden="false" outlineLevel="0" max="3" min="3" style="1" width="15.85"/>
    <col collapsed="false" customWidth="true" hidden="false" outlineLevel="0" max="4" min="4" style="1" width="19.29"/>
    <col collapsed="false" customWidth="true" hidden="false" outlineLevel="0" max="5" min="5" style="1" width="20.57"/>
    <col collapsed="false" customWidth="true" hidden="false" outlineLevel="0" max="7" min="6" style="1" width="10.71"/>
    <col collapsed="false" customWidth="true" hidden="false" outlineLevel="0" max="9" min="9" style="1" width="9.29"/>
    <col collapsed="false" customWidth="true" hidden="false" outlineLevel="0" max="15" min="15" style="1" width="12.15"/>
    <col collapsed="false" customWidth="true" hidden="false" outlineLevel="0" max="17" min="17" style="1" width="11.71"/>
    <col collapsed="false" customWidth="true" hidden="false" outlineLevel="0" max="21" min="21" style="1" width="13.15"/>
  </cols>
  <sheetData>
    <row r="2" customFormat="false" ht="12.75" hidden="false" customHeight="true" outlineLevel="0" collapsed="false">
      <c r="E2" s="79" t="s">
        <v>243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80"/>
      <c r="Q2" s="81"/>
      <c r="R2" s="81"/>
    </row>
    <row r="3" customFormat="false" ht="38.25" hidden="false" customHeight="true" outlineLevel="0" collapsed="false">
      <c r="B3" s="82" t="s">
        <v>157</v>
      </c>
      <c r="C3" s="82" t="s">
        <v>244</v>
      </c>
      <c r="D3" s="82" t="s">
        <v>245</v>
      </c>
      <c r="E3" s="82" t="s">
        <v>246</v>
      </c>
      <c r="F3" s="82" t="s">
        <v>247</v>
      </c>
      <c r="G3" s="82" t="s">
        <v>248</v>
      </c>
      <c r="H3" s="82" t="s">
        <v>249</v>
      </c>
      <c r="I3" s="83" t="s">
        <v>250</v>
      </c>
      <c r="J3" s="83" t="s">
        <v>251</v>
      </c>
      <c r="K3" s="83" t="s">
        <v>252</v>
      </c>
      <c r="L3" s="83" t="s">
        <v>253</v>
      </c>
      <c r="M3" s="83" t="s">
        <v>254</v>
      </c>
      <c r="N3" s="83" t="s">
        <v>255</v>
      </c>
      <c r="O3" s="83" t="s">
        <v>256</v>
      </c>
      <c r="P3" s="82" t="s">
        <v>257</v>
      </c>
      <c r="Q3" s="82" t="s">
        <v>258</v>
      </c>
      <c r="R3" s="82" t="s">
        <v>259</v>
      </c>
    </row>
    <row r="4" customFormat="false" ht="63.75" hidden="false" customHeight="true" outlineLevel="0" collapsed="false">
      <c r="B4" s="41" t="s">
        <v>260</v>
      </c>
      <c r="C4" s="41" t="s">
        <v>167</v>
      </c>
      <c r="D4" s="41" t="s">
        <v>261</v>
      </c>
      <c r="E4" s="41" t="s">
        <v>262</v>
      </c>
      <c r="F4" s="41"/>
      <c r="G4" s="41"/>
      <c r="H4" s="41" t="s">
        <v>263</v>
      </c>
      <c r="I4" s="41" t="s">
        <v>264</v>
      </c>
      <c r="J4" s="41"/>
      <c r="K4" s="41"/>
      <c r="L4" s="41"/>
      <c r="M4" s="41"/>
      <c r="N4" s="41"/>
      <c r="O4" s="41"/>
      <c r="P4" s="41"/>
      <c r="Q4" s="41" t="s">
        <v>265</v>
      </c>
      <c r="R4" s="41" t="s">
        <v>266</v>
      </c>
    </row>
    <row r="5" customFormat="false" ht="12.75" hidden="false" customHeight="true" outlineLevel="0" collapsed="false">
      <c r="B5" s="84" t="str">
        <f aca="false">SEC_Processes!D29</f>
        <v>REFINARY</v>
      </c>
      <c r="C5" s="84" t="str">
        <f aca="false">SEC_Processes!E29</f>
        <v>Refinary</v>
      </c>
      <c r="D5" s="85" t="s">
        <v>107</v>
      </c>
      <c r="E5" s="85"/>
      <c r="F5" s="86"/>
      <c r="G5" s="87" t="n">
        <v>0.93</v>
      </c>
      <c r="H5" s="88" t="n">
        <v>1</v>
      </c>
      <c r="I5" s="86" t="n">
        <v>566</v>
      </c>
      <c r="J5" s="86" t="n">
        <f aca="false">$I$5</f>
        <v>566</v>
      </c>
      <c r="K5" s="86" t="n">
        <f aca="false">$I$5</f>
        <v>566</v>
      </c>
      <c r="L5" s="86" t="n">
        <f aca="false">$I$5</f>
        <v>566</v>
      </c>
      <c r="M5" s="86" t="n">
        <v>44</v>
      </c>
      <c r="N5" s="86" t="n">
        <v>36</v>
      </c>
      <c r="O5" s="86" t="n">
        <v>20</v>
      </c>
      <c r="P5" s="87" t="n">
        <v>1</v>
      </c>
      <c r="Q5" s="89" t="n">
        <v>0.23</v>
      </c>
      <c r="R5" s="81" t="n">
        <v>13.59</v>
      </c>
    </row>
    <row r="6" customFormat="false" ht="13.5" hidden="false" customHeight="true" outlineLevel="0" collapsed="false">
      <c r="B6" s="90"/>
      <c r="C6" s="77"/>
      <c r="D6" s="91"/>
      <c r="E6" s="92" t="s">
        <v>115</v>
      </c>
      <c r="F6" s="93" t="n">
        <v>0.04</v>
      </c>
      <c r="G6" s="93"/>
      <c r="H6" s="94"/>
      <c r="I6" s="93"/>
      <c r="J6" s="93"/>
      <c r="K6" s="93"/>
      <c r="L6" s="93"/>
      <c r="M6" s="93"/>
      <c r="N6" s="93"/>
      <c r="O6" s="93"/>
      <c r="P6" s="95"/>
      <c r="Q6" s="96"/>
      <c r="R6" s="96"/>
    </row>
    <row r="7" customFormat="false" ht="12.75" hidden="false" customHeight="true" outlineLevel="0" collapsed="false">
      <c r="B7" s="97"/>
      <c r="C7" s="47"/>
      <c r="D7" s="47"/>
      <c r="E7" s="98" t="s">
        <v>113</v>
      </c>
      <c r="F7" s="99" t="n">
        <v>0.23</v>
      </c>
      <c r="G7" s="99"/>
    </row>
    <row r="8" customFormat="false" ht="12.75" hidden="false" customHeight="true" outlineLevel="0" collapsed="false">
      <c r="B8" s="100"/>
      <c r="C8" s="77"/>
      <c r="D8" s="77"/>
      <c r="E8" s="92" t="s">
        <v>118</v>
      </c>
      <c r="F8" s="93" t="n">
        <v>0.1</v>
      </c>
      <c r="G8" s="93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</row>
    <row r="9" customFormat="false" ht="12.75" hidden="false" customHeight="true" outlineLevel="0" collapsed="false">
      <c r="B9" s="97"/>
      <c r="C9" s="47"/>
      <c r="D9" s="47"/>
      <c r="E9" s="98" t="s">
        <v>111</v>
      </c>
      <c r="F9" s="99" t="n">
        <v>0.36</v>
      </c>
      <c r="G9" s="99"/>
    </row>
    <row r="10" customFormat="false" ht="12.75" hidden="false" customHeight="true" outlineLevel="0" collapsed="false">
      <c r="B10" s="76"/>
      <c r="C10" s="76"/>
      <c r="D10" s="76"/>
      <c r="E10" s="92" t="s">
        <v>117</v>
      </c>
      <c r="F10" s="93" t="n">
        <v>0.06</v>
      </c>
      <c r="G10" s="93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</row>
    <row r="11" customFormat="false" ht="12.75" hidden="false" customHeight="true" outlineLevel="0" collapsed="false">
      <c r="E11" s="98" t="s">
        <v>120</v>
      </c>
      <c r="F11" s="99" t="n">
        <v>0.035</v>
      </c>
      <c r="G11" s="99"/>
    </row>
    <row r="12" customFormat="false" ht="12.75" hidden="false" customHeight="true" outlineLevel="0" collapsed="false">
      <c r="B12" s="76"/>
      <c r="C12" s="76"/>
      <c r="D12" s="76"/>
      <c r="E12" s="92" t="s">
        <v>121</v>
      </c>
      <c r="F12" s="93" t="n">
        <v>0.05</v>
      </c>
      <c r="G12" s="93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</row>
    <row r="13" customFormat="false" ht="12.75" hidden="false" customHeight="true" outlineLevel="0" collapsed="false">
      <c r="E13" s="98" t="s">
        <v>122</v>
      </c>
      <c r="F13" s="99" t="n">
        <v>0.04</v>
      </c>
      <c r="G13" s="99"/>
    </row>
    <row r="14" customFormat="false" ht="12.75" hidden="false" customHeight="true" outlineLevel="0" collapsed="false">
      <c r="B14" s="76"/>
      <c r="C14" s="76"/>
      <c r="D14" s="76"/>
      <c r="E14" s="101" t="s">
        <v>109</v>
      </c>
      <c r="F14" s="93" t="n">
        <v>0.085</v>
      </c>
      <c r="G14" s="93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</row>
    <row r="15" customFormat="false" ht="12.75" hidden="false" customHeight="true" outlineLevel="0" collapsed="false">
      <c r="B15" s="102"/>
      <c r="C15" s="102"/>
      <c r="D15" s="102"/>
      <c r="E15" s="103" t="str">
        <f aca="false">SEC_Comm!C13</f>
        <v>CO2</v>
      </c>
      <c r="F15" s="104"/>
      <c r="G15" s="104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</row>
    <row r="32" customFormat="false" ht="12.75" hidden="false" customHeight="true" outlineLevel="0" collapsed="false">
      <c r="E32" s="1" t="n">
        <v>13475000</v>
      </c>
    </row>
    <row r="33" customFormat="false" ht="12.75" hidden="false" customHeight="true" outlineLevel="0" collapsed="false">
      <c r="E33" s="1" t="n">
        <f aca="false">P36*E32/1000000</f>
        <v>564.1713</v>
      </c>
    </row>
    <row r="34" customFormat="false" ht="12.75" hidden="false" customHeight="true" outlineLevel="0" collapsed="false">
      <c r="K34" s="47"/>
      <c r="L34" s="99"/>
      <c r="M34" s="99"/>
      <c r="P34" s="1" t="s">
        <v>267</v>
      </c>
      <c r="Q34" s="47" t="s">
        <v>268</v>
      </c>
    </row>
    <row r="35" customFormat="false" ht="12.75" hidden="false" customHeight="true" outlineLevel="0" collapsed="false">
      <c r="P35" s="1" t="s">
        <v>269</v>
      </c>
      <c r="Q35" s="1" t="s">
        <v>269</v>
      </c>
      <c r="T35" s="1" t="s">
        <v>85</v>
      </c>
    </row>
    <row r="36" customFormat="false" ht="12.75" hidden="false" customHeight="true" outlineLevel="0" collapsed="false">
      <c r="J36" s="1" t="n">
        <v>1</v>
      </c>
      <c r="K36" s="1" t="s">
        <v>270</v>
      </c>
      <c r="L36" s="1" t="n">
        <v>0.04</v>
      </c>
      <c r="M36" s="1" t="s">
        <v>271</v>
      </c>
      <c r="P36" s="1" t="n">
        <v>41.868</v>
      </c>
      <c r="Q36" s="1" t="n">
        <v>46.5</v>
      </c>
      <c r="S36" s="1" t="n">
        <v>1</v>
      </c>
      <c r="T36" s="1" t="n">
        <v>1.86</v>
      </c>
      <c r="U36" s="1" t="s">
        <v>271</v>
      </c>
      <c r="V36" s="1" t="n">
        <v>1.86</v>
      </c>
    </row>
    <row r="37" customFormat="false" ht="12.75" hidden="false" customHeight="true" outlineLevel="0" collapsed="false">
      <c r="L37" s="1" t="n">
        <v>0.23</v>
      </c>
      <c r="M37" s="1" t="s">
        <v>114</v>
      </c>
      <c r="Q37" s="1" t="n">
        <v>43.5</v>
      </c>
      <c r="T37" s="1" t="n">
        <v>10.005</v>
      </c>
      <c r="U37" s="1" t="s">
        <v>114</v>
      </c>
      <c r="V37" s="1" t="n">
        <v>10.005</v>
      </c>
    </row>
    <row r="38" customFormat="false" ht="12.75" hidden="false" customHeight="true" outlineLevel="0" collapsed="false">
      <c r="L38" s="1" t="n">
        <v>0.1</v>
      </c>
      <c r="M38" s="1" t="s">
        <v>272</v>
      </c>
      <c r="Q38" s="1" t="n">
        <v>43</v>
      </c>
      <c r="T38" s="1" t="n">
        <v>4.3</v>
      </c>
      <c r="U38" s="1" t="s">
        <v>272</v>
      </c>
      <c r="V38" s="1" t="n">
        <v>4.3</v>
      </c>
    </row>
    <row r="39" customFormat="false" ht="12.75" hidden="false" customHeight="true" outlineLevel="0" collapsed="false">
      <c r="L39" s="1" t="n">
        <v>0.36</v>
      </c>
      <c r="M39" s="1" t="s">
        <v>112</v>
      </c>
      <c r="Q39" s="1" t="n">
        <v>43</v>
      </c>
      <c r="T39" s="1" t="n">
        <v>15.48</v>
      </c>
      <c r="U39" s="1" t="s">
        <v>112</v>
      </c>
      <c r="V39" s="1" t="n">
        <v>15.48</v>
      </c>
    </row>
    <row r="40" customFormat="false" ht="12.75" hidden="false" customHeight="true" outlineLevel="0" collapsed="false">
      <c r="L40" s="1" t="n">
        <v>0.06</v>
      </c>
      <c r="M40" s="1" t="s">
        <v>273</v>
      </c>
      <c r="Q40" s="1" t="n">
        <v>40.5</v>
      </c>
      <c r="T40" s="1" t="n">
        <v>2.43</v>
      </c>
      <c r="U40" s="1" t="s">
        <v>273</v>
      </c>
      <c r="V40" s="1" t="n">
        <v>2.43</v>
      </c>
    </row>
    <row r="41" customFormat="false" ht="12.75" hidden="false" customHeight="true" outlineLevel="0" collapsed="false">
      <c r="L41" s="1" t="n">
        <v>0.035</v>
      </c>
      <c r="M41" s="1" t="s">
        <v>120</v>
      </c>
      <c r="Q41" s="1" t="n">
        <v>41.5</v>
      </c>
      <c r="T41" s="1" t="n">
        <v>1.4525</v>
      </c>
      <c r="U41" s="1" t="s">
        <v>120</v>
      </c>
      <c r="V41" s="1" t="n">
        <v>1.4525</v>
      </c>
    </row>
    <row r="42" customFormat="false" ht="12.75" hidden="false" customHeight="true" outlineLevel="0" collapsed="false">
      <c r="L42" s="1" t="n">
        <v>0.05</v>
      </c>
      <c r="M42" s="1" t="s">
        <v>121</v>
      </c>
      <c r="Q42" s="1" t="n">
        <v>39.5</v>
      </c>
      <c r="T42" s="1" t="n">
        <v>1.975</v>
      </c>
      <c r="U42" s="1" t="s">
        <v>121</v>
      </c>
      <c r="V42" s="1" t="n">
        <v>1.975</v>
      </c>
    </row>
    <row r="43" customFormat="false" ht="12.75" hidden="false" customHeight="true" outlineLevel="0" collapsed="false">
      <c r="L43" s="1" t="n">
        <v>0.04</v>
      </c>
      <c r="M43" s="1" t="s">
        <v>274</v>
      </c>
      <c r="Q43" s="1" t="n">
        <v>47</v>
      </c>
      <c r="T43" s="1" t="n">
        <v>1.88</v>
      </c>
      <c r="U43" s="1" t="s">
        <v>274</v>
      </c>
      <c r="V43" s="1" t="n">
        <v>1.88</v>
      </c>
    </row>
    <row r="44" customFormat="false" ht="12.75" hidden="false" customHeight="true" outlineLevel="0" collapsed="false">
      <c r="L44" s="1" t="n">
        <v>0.085</v>
      </c>
      <c r="M44" s="1" t="s">
        <v>275</v>
      </c>
      <c r="Q44" s="1" t="n">
        <v>29.25</v>
      </c>
      <c r="T44" s="1" t="n">
        <v>2.48625</v>
      </c>
      <c r="U44" s="1" t="s">
        <v>275</v>
      </c>
      <c r="V44" s="1" t="n">
        <v>2.48625</v>
      </c>
    </row>
    <row r="45" customFormat="false" ht="12.75" hidden="false" customHeight="true" outlineLevel="0" collapsed="false">
      <c r="L45" s="1" t="n">
        <f aca="false">SUM(L36:L44)</f>
        <v>1</v>
      </c>
      <c r="T45" s="1" t="n">
        <v>41.86875</v>
      </c>
    </row>
  </sheetData>
  <mergeCells count="1">
    <mergeCell ref="I4:O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E36"/>
  <sheetViews>
    <sheetView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Q11" activeCellId="0" sqref="Q1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9.57"/>
    <col collapsed="false" customWidth="true" hidden="false" outlineLevel="0" max="3" min="3" style="1" width="44.29"/>
    <col collapsed="false" customWidth="true" hidden="false" outlineLevel="0" max="4" min="4" style="1" width="10.29"/>
    <col collapsed="false" customWidth="true" hidden="false" outlineLevel="0" max="5" min="5" style="1" width="10.57"/>
    <col collapsed="false" customWidth="true" hidden="false" outlineLevel="0" max="6" min="6" style="1" width="11"/>
    <col collapsed="false" customWidth="true" hidden="false" outlineLevel="0" max="7" min="7" style="1" width="25.14"/>
    <col collapsed="false" customWidth="true" hidden="false" outlineLevel="0" max="8" min="8" style="1" width="7.57"/>
    <col collapsed="false" customWidth="true" hidden="false" outlineLevel="0" max="9" min="9" style="1" width="11"/>
    <col collapsed="false" customWidth="true" hidden="false" outlineLevel="0" max="10" min="10" style="1" width="15.42"/>
    <col collapsed="false" customWidth="true" hidden="false" outlineLevel="0" max="14" min="11" style="1" width="7.57"/>
    <col collapsed="false" customWidth="true" hidden="false" outlineLevel="0" max="16" min="15" style="1" width="16"/>
    <col collapsed="false" customWidth="true" hidden="false" outlineLevel="0" max="17" min="17" style="1" width="19.29"/>
    <col collapsed="false" customWidth="true" hidden="false" outlineLevel="0" max="18" min="18" style="1" width="15"/>
    <col collapsed="false" customWidth="true" hidden="false" outlineLevel="0" max="19" min="19" style="1" width="13"/>
    <col collapsed="false" customWidth="true" hidden="false" outlineLevel="0" max="20" min="20" style="1" width="18"/>
    <col collapsed="false" customWidth="true" hidden="false" outlineLevel="0" max="21" min="21" style="1" width="15"/>
    <col collapsed="false" customWidth="true" hidden="false" outlineLevel="0" max="22" min="22" style="1" width="15.29"/>
    <col collapsed="false" customWidth="true" hidden="false" outlineLevel="0" max="25" min="25" style="1" width="12.57"/>
  </cols>
  <sheetData>
    <row r="2" customFormat="false" ht="16.5" hidden="false" customHeight="true" outlineLevel="0" collapsed="false">
      <c r="B2" s="105" t="s">
        <v>276</v>
      </c>
      <c r="C2" s="2"/>
      <c r="E2" s="106"/>
      <c r="H2" s="107"/>
      <c r="I2" s="108"/>
      <c r="J2" s="108"/>
      <c r="K2" s="108"/>
      <c r="L2" s="108"/>
      <c r="M2" s="108"/>
      <c r="N2" s="108"/>
      <c r="O2" s="109"/>
      <c r="P2" s="109"/>
      <c r="Q2" s="109"/>
      <c r="R2" s="80"/>
      <c r="S2" s="81"/>
      <c r="T2" s="110"/>
    </row>
    <row r="3" customFormat="false" ht="12.75" hidden="false" customHeight="true" outlineLevel="0" collapsed="false">
      <c r="B3" s="111"/>
      <c r="C3" s="112"/>
      <c r="E3" s="106"/>
      <c r="H3" s="107"/>
      <c r="I3" s="107"/>
      <c r="J3" s="107"/>
      <c r="K3" s="107"/>
      <c r="L3" s="107"/>
      <c r="M3" s="107"/>
      <c r="N3" s="107"/>
      <c r="O3" s="109"/>
      <c r="P3" s="109"/>
      <c r="Q3" s="109"/>
      <c r="R3" s="80"/>
      <c r="S3" s="81"/>
      <c r="T3" s="110"/>
    </row>
    <row r="4" customFormat="false" ht="15.75" hidden="false" customHeight="true" outlineLevel="0" collapsed="false">
      <c r="E4" s="79" t="s">
        <v>243</v>
      </c>
      <c r="F4" s="47"/>
      <c r="G4" s="47"/>
      <c r="H4" s="47"/>
      <c r="I4" s="47"/>
      <c r="J4" s="47"/>
      <c r="K4" s="47"/>
      <c r="L4" s="47"/>
      <c r="M4" s="47"/>
      <c r="N4" s="47"/>
      <c r="O4" s="80"/>
      <c r="P4" s="80"/>
      <c r="Q4" s="80"/>
      <c r="R4" s="81"/>
      <c r="S4" s="81"/>
      <c r="T4" s="81"/>
    </row>
    <row r="5" s="47" customFormat="true" ht="49.5" hidden="false" customHeight="true" outlineLevel="0" collapsed="false">
      <c r="B5" s="82" t="s">
        <v>157</v>
      </c>
      <c r="C5" s="82" t="s">
        <v>244</v>
      </c>
      <c r="D5" s="82" t="s">
        <v>245</v>
      </c>
      <c r="E5" s="82" t="s">
        <v>246</v>
      </c>
      <c r="F5" s="82" t="s">
        <v>248</v>
      </c>
      <c r="G5" s="82" t="s">
        <v>249</v>
      </c>
      <c r="H5" s="83" t="s">
        <v>277</v>
      </c>
      <c r="I5" s="83" t="s">
        <v>251</v>
      </c>
      <c r="J5" s="83" t="s">
        <v>252</v>
      </c>
      <c r="K5" s="83" t="s">
        <v>253</v>
      </c>
      <c r="L5" s="83" t="s">
        <v>254</v>
      </c>
      <c r="M5" s="83" t="s">
        <v>255</v>
      </c>
      <c r="N5" s="83" t="s">
        <v>256</v>
      </c>
      <c r="O5" s="82" t="s">
        <v>278</v>
      </c>
      <c r="P5" s="82" t="s">
        <v>279</v>
      </c>
      <c r="Q5" s="82" t="s">
        <v>280</v>
      </c>
      <c r="R5" s="82" t="s">
        <v>281</v>
      </c>
      <c r="S5" s="82" t="s">
        <v>258</v>
      </c>
      <c r="T5" s="82" t="s">
        <v>259</v>
      </c>
      <c r="U5" s="47" t="s">
        <v>282</v>
      </c>
      <c r="V5" s="47" t="s">
        <v>283</v>
      </c>
      <c r="W5" s="47" t="s">
        <v>284</v>
      </c>
    </row>
    <row r="6" customFormat="false" ht="53.25" hidden="false" customHeight="true" outlineLevel="0" collapsed="false">
      <c r="B6" s="41" t="s">
        <v>260</v>
      </c>
      <c r="C6" s="41" t="s">
        <v>167</v>
      </c>
      <c r="D6" s="41" t="s">
        <v>261</v>
      </c>
      <c r="E6" s="41" t="s">
        <v>262</v>
      </c>
      <c r="F6" s="41" t="s">
        <v>49</v>
      </c>
      <c r="G6" s="41" t="s">
        <v>263</v>
      </c>
      <c r="H6" s="41" t="s">
        <v>285</v>
      </c>
      <c r="I6" s="41"/>
      <c r="J6" s="41"/>
      <c r="K6" s="41"/>
      <c r="L6" s="41"/>
      <c r="M6" s="41"/>
      <c r="N6" s="41"/>
      <c r="O6" s="41" t="s">
        <v>286</v>
      </c>
      <c r="P6" s="41"/>
      <c r="Q6" s="41" t="s">
        <v>287</v>
      </c>
      <c r="R6" s="41" t="s">
        <v>287</v>
      </c>
      <c r="S6" s="41" t="s">
        <v>288</v>
      </c>
      <c r="T6" s="41" t="s">
        <v>266</v>
      </c>
      <c r="U6" s="1" t="s">
        <v>289</v>
      </c>
      <c r="V6" s="1" t="s">
        <v>289</v>
      </c>
      <c r="W6" s="1" t="s">
        <v>289</v>
      </c>
      <c r="Z6" s="113"/>
      <c r="AA6" s="31"/>
    </row>
    <row r="7" customFormat="false" ht="15.75" hidden="false" customHeight="true" outlineLevel="0" collapsed="false">
      <c r="B7" s="84" t="str">
        <f aca="false">SEC_Processes!D15</f>
        <v>ELE_EX_HC</v>
      </c>
      <c r="C7" s="84" t="str">
        <f aca="false">SEC_Processes!E15</f>
        <v>Existing Hard Coal Power Plants</v>
      </c>
      <c r="D7" s="85" t="str">
        <f aca="false">SEC_Comm!C22</f>
        <v>SOLID</v>
      </c>
      <c r="E7" s="85" t="str">
        <f aca="false">SEC_Comm!C7</f>
        <v>ELEC_HV</v>
      </c>
      <c r="F7" s="86" t="n">
        <f aca="false">(BALANCE!E9*3.6/10^3)/(BALANCE!G9*BALANCE!H9/10^6)</f>
        <v>0.385118269345061</v>
      </c>
      <c r="G7" s="88" t="n">
        <v>31.536</v>
      </c>
      <c r="H7" s="86" t="n">
        <f aca="false">BALANCE!D9/1000</f>
        <v>0.6</v>
      </c>
      <c r="I7" s="86" t="n">
        <f aca="false">H7</f>
        <v>0.6</v>
      </c>
      <c r="J7" s="86" t="n">
        <v>0</v>
      </c>
      <c r="K7" s="86" t="n">
        <v>0</v>
      </c>
      <c r="L7" s="86" t="n">
        <v>0</v>
      </c>
      <c r="M7" s="86" t="n">
        <v>0</v>
      </c>
      <c r="N7" s="86" t="n">
        <v>0</v>
      </c>
      <c r="O7" s="87" t="n">
        <v>1</v>
      </c>
      <c r="P7" s="87" t="n">
        <v>1</v>
      </c>
      <c r="Q7" s="87" t="n">
        <v>0.9</v>
      </c>
      <c r="R7" s="88" t="n">
        <v>0.92</v>
      </c>
      <c r="S7" s="87" t="n">
        <v>47.5</v>
      </c>
      <c r="T7" s="88" t="n">
        <v>5.26</v>
      </c>
    </row>
    <row r="8" customFormat="false" ht="15.75" hidden="false" customHeight="true" outlineLevel="0" collapsed="false">
      <c r="B8" s="114" t="str">
        <f aca="false">SEC_Processes!D16</f>
        <v>ELE_EX_OILGAS</v>
      </c>
      <c r="C8" s="114" t="str">
        <f aca="false">SEC_Processes!E16</f>
        <v>Existing Syngas Power Plants</v>
      </c>
      <c r="D8" s="115" t="str">
        <f aca="false">SEC_Comm!C24</f>
        <v>OILGAS</v>
      </c>
      <c r="E8" s="116" t="str">
        <f aca="false">SEC_Comm!C7</f>
        <v>ELEC_HV</v>
      </c>
      <c r="F8" s="117" t="n">
        <f aca="false">(BALANCE!E10*3.6/10^3)/(BALANCE!G10*BALANCE!H10/10^6)</f>
        <v>0.547680890538033</v>
      </c>
      <c r="G8" s="118" t="n">
        <v>31.536</v>
      </c>
      <c r="H8" s="117" t="n">
        <f aca="false">BALANCE!D10/1000</f>
        <v>0.55</v>
      </c>
      <c r="I8" s="117" t="n">
        <f aca="false">H8</f>
        <v>0.55</v>
      </c>
      <c r="J8" s="117" t="n">
        <v>0.55</v>
      </c>
      <c r="K8" s="117" t="n">
        <v>0.55</v>
      </c>
      <c r="L8" s="117" t="n">
        <v>0</v>
      </c>
      <c r="M8" s="117" t="n">
        <v>0</v>
      </c>
      <c r="N8" s="117" t="n">
        <v>0</v>
      </c>
      <c r="O8" s="119" t="n">
        <v>1</v>
      </c>
      <c r="P8" s="119" t="n">
        <v>1</v>
      </c>
      <c r="Q8" s="119" t="n">
        <v>0.88</v>
      </c>
      <c r="R8" s="118" t="n">
        <v>0.87</v>
      </c>
      <c r="S8" s="120" t="n">
        <v>61</v>
      </c>
      <c r="T8" s="120" t="n">
        <v>1.11</v>
      </c>
      <c r="U8" s="1" t="n">
        <v>0.8</v>
      </c>
      <c r="V8" s="1" t="n">
        <v>0.8</v>
      </c>
      <c r="W8" s="1" t="n">
        <v>0.8</v>
      </c>
    </row>
    <row r="12" customFormat="false" ht="15.75" hidden="false" customHeight="true" outlineLevel="0" collapsed="false">
      <c r="B12" s="105" t="s">
        <v>290</v>
      </c>
      <c r="C12" s="2"/>
      <c r="V12" s="121"/>
      <c r="W12" s="122"/>
      <c r="Z12" s="122"/>
      <c r="AA12" s="122"/>
      <c r="AB12" s="122"/>
      <c r="AC12" s="122"/>
      <c r="AD12" s="122"/>
      <c r="AE12" s="122"/>
    </row>
    <row r="13" customFormat="false" ht="12.75" hidden="false" customHeight="true" outlineLevel="0" collapsed="false">
      <c r="I13" s="123"/>
      <c r="J13" s="123"/>
      <c r="K13" s="123"/>
      <c r="L13" s="123"/>
      <c r="M13" s="123"/>
      <c r="N13" s="123"/>
      <c r="W13" s="113"/>
      <c r="Z13" s="113"/>
      <c r="AA13" s="113"/>
      <c r="AB13" s="113"/>
      <c r="AC13" s="113"/>
      <c r="AD13" s="113"/>
      <c r="AE13" s="113"/>
    </row>
    <row r="14" customFormat="false" ht="12.75" hidden="false" customHeight="true" outlineLevel="0" collapsed="false">
      <c r="U14" s="31"/>
      <c r="V14" s="31"/>
      <c r="W14" s="124"/>
      <c r="Z14" s="125"/>
      <c r="AA14" s="125"/>
      <c r="AB14" s="126"/>
      <c r="AC14" s="31"/>
      <c r="AD14" s="31"/>
      <c r="AE14" s="127"/>
    </row>
    <row r="15" customFormat="false" ht="35.25" hidden="false" customHeight="true" outlineLevel="0" collapsed="false">
      <c r="B15" s="82" t="s">
        <v>157</v>
      </c>
      <c r="C15" s="82" t="s">
        <v>244</v>
      </c>
      <c r="D15" s="82" t="s">
        <v>245</v>
      </c>
      <c r="E15" s="82" t="s">
        <v>246</v>
      </c>
      <c r="F15" s="82" t="s">
        <v>248</v>
      </c>
      <c r="G15" s="82" t="s">
        <v>249</v>
      </c>
      <c r="H15" s="128" t="s">
        <v>291</v>
      </c>
      <c r="I15" s="128" t="s">
        <v>71</v>
      </c>
      <c r="J15" s="83" t="s">
        <v>292</v>
      </c>
      <c r="K15" s="82" t="s">
        <v>278</v>
      </c>
      <c r="L15" s="83" t="s">
        <v>257</v>
      </c>
      <c r="M15" s="83" t="s">
        <v>257</v>
      </c>
      <c r="N15" s="82" t="s">
        <v>258</v>
      </c>
      <c r="O15" s="82" t="s">
        <v>259</v>
      </c>
      <c r="P15" s="129"/>
      <c r="W15" s="125"/>
      <c r="Z15" s="125"/>
      <c r="AA15" s="125"/>
      <c r="AB15" s="126"/>
      <c r="AC15" s="31"/>
      <c r="AD15" s="31"/>
      <c r="AE15" s="127"/>
    </row>
    <row r="16" customFormat="false" ht="61.5" hidden="false" customHeight="true" outlineLevel="0" collapsed="false">
      <c r="B16" s="130" t="s">
        <v>260</v>
      </c>
      <c r="C16" s="130" t="s">
        <v>167</v>
      </c>
      <c r="D16" s="130" t="s">
        <v>261</v>
      </c>
      <c r="E16" s="130" t="s">
        <v>262</v>
      </c>
      <c r="F16" s="130" t="s">
        <v>49</v>
      </c>
      <c r="G16" s="130" t="s">
        <v>263</v>
      </c>
      <c r="H16" s="131" t="s">
        <v>291</v>
      </c>
      <c r="I16" s="131" t="s">
        <v>293</v>
      </c>
      <c r="J16" s="132" t="s">
        <v>285</v>
      </c>
      <c r="K16" s="130" t="s">
        <v>286</v>
      </c>
      <c r="L16" s="130" t="s">
        <v>287</v>
      </c>
      <c r="M16" s="130" t="s">
        <v>287</v>
      </c>
      <c r="N16" s="130" t="s">
        <v>294</v>
      </c>
      <c r="O16" s="130" t="s">
        <v>295</v>
      </c>
      <c r="P16" s="133"/>
      <c r="Z16" s="125"/>
      <c r="AA16" s="125"/>
      <c r="AE16" s="134"/>
    </row>
    <row r="17" customFormat="false" ht="18.75" hidden="false" customHeight="true" outlineLevel="0" collapsed="false">
      <c r="B17" s="64" t="str">
        <f aca="false">SEC_Processes!D15</f>
        <v>ELE_EX_HC</v>
      </c>
      <c r="C17" s="64" t="str">
        <f aca="false">SEC_Processes!E15</f>
        <v>Existing Hard Coal Power Plants</v>
      </c>
      <c r="D17" s="64" t="str">
        <f aca="false">SEC_Comm!C22</f>
        <v>SOLID</v>
      </c>
      <c r="E17" s="64" t="str">
        <f aca="false">SEC_Comm!C7</f>
        <v>ELEC_HV</v>
      </c>
      <c r="F17" s="135" t="n">
        <v>0.385</v>
      </c>
      <c r="G17" s="64" t="n">
        <v>31.536</v>
      </c>
      <c r="H17" s="64"/>
      <c r="I17" s="64"/>
      <c r="J17" s="64"/>
      <c r="K17" s="136" t="n">
        <v>1</v>
      </c>
      <c r="L17" s="64"/>
      <c r="M17" s="64" t="n">
        <v>0.92</v>
      </c>
      <c r="N17" s="136" t="n">
        <v>47.5</v>
      </c>
      <c r="O17" s="64" t="n">
        <v>5.26</v>
      </c>
      <c r="P17" s="66"/>
    </row>
    <row r="18" customFormat="false" ht="18.75" hidden="false" customHeight="true" outlineLevel="0" collapsed="false">
      <c r="B18" s="65"/>
      <c r="C18" s="65"/>
      <c r="D18" s="65"/>
      <c r="E18" s="65"/>
      <c r="F18" s="65"/>
      <c r="G18" s="65"/>
      <c r="H18" s="65" t="n">
        <v>2023</v>
      </c>
      <c r="I18" s="65" t="s">
        <v>296</v>
      </c>
      <c r="J18" s="137" t="n">
        <v>0.6</v>
      </c>
      <c r="K18" s="65"/>
      <c r="L18" s="138" t="n">
        <v>0.9</v>
      </c>
      <c r="M18" s="65"/>
      <c r="N18" s="65"/>
      <c r="O18" s="65"/>
      <c r="P18" s="65"/>
    </row>
    <row r="19" customFormat="false" ht="18.75" hidden="false" customHeight="true" outlineLevel="0" collapsed="false">
      <c r="B19" s="66"/>
      <c r="C19" s="66"/>
      <c r="D19" s="66"/>
      <c r="E19" s="66"/>
      <c r="F19" s="66"/>
      <c r="G19" s="66"/>
      <c r="H19" s="66" t="n">
        <v>2024</v>
      </c>
      <c r="I19" s="139" t="s">
        <v>296</v>
      </c>
      <c r="J19" s="140" t="n">
        <v>0.6</v>
      </c>
      <c r="K19" s="66"/>
      <c r="L19" s="66" t="n">
        <v>0.9</v>
      </c>
      <c r="M19" s="66"/>
      <c r="N19" s="66"/>
      <c r="O19" s="66"/>
      <c r="P19" s="66"/>
    </row>
    <row r="20" customFormat="false" ht="18.75" hidden="false" customHeight="true" outlineLevel="0" collapsed="false">
      <c r="B20" s="65"/>
      <c r="C20" s="65"/>
      <c r="D20" s="65"/>
      <c r="E20" s="65"/>
      <c r="F20" s="65"/>
      <c r="G20" s="65"/>
      <c r="H20" s="65" t="n">
        <v>2025</v>
      </c>
      <c r="I20" s="65" t="s">
        <v>296</v>
      </c>
      <c r="J20" s="137" t="n">
        <v>0.6</v>
      </c>
      <c r="K20" s="65"/>
      <c r="L20" s="65" t="n">
        <v>0.6</v>
      </c>
      <c r="M20" s="65"/>
      <c r="N20" s="65"/>
      <c r="O20" s="65"/>
      <c r="P20" s="65"/>
    </row>
    <row r="21" customFormat="false" ht="18.75" hidden="false" customHeight="true" outlineLevel="0" collapsed="false">
      <c r="B21" s="66"/>
      <c r="C21" s="66"/>
      <c r="D21" s="66"/>
      <c r="E21" s="66"/>
      <c r="F21" s="66"/>
      <c r="G21" s="66"/>
      <c r="H21" s="66" t="n">
        <v>2030</v>
      </c>
      <c r="I21" s="66"/>
      <c r="J21" s="140" t="n">
        <v>0</v>
      </c>
      <c r="K21" s="66"/>
      <c r="L21" s="66"/>
      <c r="M21" s="66"/>
      <c r="N21" s="66"/>
      <c r="O21" s="66"/>
      <c r="P21" s="66"/>
    </row>
    <row r="22" customFormat="false" ht="18.75" hidden="false" customHeight="true" outlineLevel="0" collapsed="false">
      <c r="B22" s="65"/>
      <c r="C22" s="65"/>
      <c r="D22" s="65"/>
      <c r="E22" s="65"/>
      <c r="F22" s="65"/>
      <c r="G22" s="65"/>
      <c r="H22" s="65" t="n">
        <v>2035</v>
      </c>
      <c r="I22" s="65"/>
      <c r="J22" s="137" t="n">
        <v>0</v>
      </c>
      <c r="K22" s="65"/>
      <c r="L22" s="65"/>
      <c r="M22" s="65"/>
      <c r="N22" s="65"/>
      <c r="O22" s="65"/>
      <c r="P22" s="65"/>
    </row>
    <row r="23" customFormat="false" ht="18.75" hidden="false" customHeight="true" outlineLevel="0" collapsed="false">
      <c r="B23" s="66"/>
      <c r="C23" s="66"/>
      <c r="D23" s="66"/>
      <c r="E23" s="66"/>
      <c r="F23" s="66"/>
      <c r="G23" s="66"/>
      <c r="H23" s="66" t="n">
        <v>2040</v>
      </c>
      <c r="I23" s="139"/>
      <c r="J23" s="140" t="n">
        <v>0</v>
      </c>
      <c r="K23" s="66"/>
      <c r="L23" s="66"/>
      <c r="M23" s="66"/>
      <c r="N23" s="66"/>
      <c r="O23" s="66"/>
      <c r="P23" s="66"/>
    </row>
    <row r="24" customFormat="false" ht="18.75" hidden="false" customHeight="true" outlineLevel="0" collapsed="false">
      <c r="B24" s="65"/>
      <c r="C24" s="65"/>
      <c r="D24" s="65"/>
      <c r="E24" s="65"/>
      <c r="F24" s="65"/>
      <c r="G24" s="65"/>
      <c r="H24" s="65" t="n">
        <v>2045</v>
      </c>
      <c r="I24" s="65"/>
      <c r="J24" s="137" t="n">
        <v>0</v>
      </c>
      <c r="K24" s="65"/>
      <c r="L24" s="65"/>
      <c r="M24" s="65"/>
      <c r="N24" s="65"/>
      <c r="O24" s="65"/>
      <c r="P24" s="65"/>
    </row>
    <row r="25" customFormat="false" ht="18.75" hidden="false" customHeight="true" outlineLevel="0" collapsed="false">
      <c r="B25" s="66"/>
      <c r="C25" s="66"/>
      <c r="D25" s="66"/>
      <c r="E25" s="66"/>
      <c r="F25" s="66"/>
      <c r="G25" s="66"/>
      <c r="H25" s="66" t="n">
        <v>2050</v>
      </c>
      <c r="I25" s="66"/>
      <c r="J25" s="140" t="n">
        <v>0</v>
      </c>
      <c r="K25" s="66"/>
      <c r="L25" s="66"/>
      <c r="M25" s="66"/>
      <c r="N25" s="66"/>
      <c r="O25" s="66"/>
      <c r="P25" s="66"/>
    </row>
    <row r="26" customFormat="false" ht="18.75" hidden="false" customHeight="true" outlineLevel="0" collapsed="false">
      <c r="B26" s="65"/>
      <c r="C26" s="65"/>
      <c r="D26" s="65"/>
      <c r="E26" s="65" t="str">
        <f aca="false">SEC_Comm!C13</f>
        <v>CO2</v>
      </c>
      <c r="F26" s="65"/>
      <c r="G26" s="65"/>
      <c r="H26" s="65"/>
      <c r="I26" s="65"/>
      <c r="J26" s="137"/>
      <c r="K26" s="65"/>
      <c r="L26" s="65"/>
      <c r="M26" s="65"/>
      <c r="N26" s="65"/>
      <c r="O26" s="65"/>
      <c r="P26" s="65"/>
    </row>
    <row r="27" customFormat="false" ht="18.75" hidden="false" customHeight="true" outlineLevel="0" collapsed="false">
      <c r="B27" s="66" t="str">
        <f aca="false">SEC_Processes!D16</f>
        <v>ELE_EX_OILGAS</v>
      </c>
      <c r="C27" s="66" t="str">
        <f aca="false">SEC_Processes!E16</f>
        <v>Existing Syngas Power Plants</v>
      </c>
      <c r="D27" s="66" t="str">
        <f aca="false">SEC_Comm!C23</f>
        <v>CRUDE_OIL</v>
      </c>
      <c r="E27" s="66" t="str">
        <f aca="false">SEC_Comm!C7</f>
        <v>ELEC_HV</v>
      </c>
      <c r="F27" s="140" t="n">
        <v>0.548</v>
      </c>
      <c r="G27" s="66" t="n">
        <v>31.536</v>
      </c>
      <c r="H27" s="66"/>
      <c r="I27" s="66"/>
      <c r="J27" s="66"/>
      <c r="K27" s="141" t="n">
        <v>1</v>
      </c>
      <c r="L27" s="66"/>
      <c r="M27" s="66" t="n">
        <v>0.87</v>
      </c>
      <c r="N27" s="141" t="n">
        <v>61</v>
      </c>
      <c r="O27" s="66" t="n">
        <v>1.11</v>
      </c>
      <c r="P27" s="66"/>
    </row>
    <row r="28" customFormat="false" ht="18.75" hidden="false" customHeight="true" outlineLevel="0" collapsed="false">
      <c r="B28" s="65"/>
      <c r="C28" s="65"/>
      <c r="D28" s="65"/>
      <c r="E28" s="65"/>
      <c r="F28" s="65"/>
      <c r="G28" s="65"/>
      <c r="H28" s="65" t="n">
        <v>2023</v>
      </c>
      <c r="I28" s="65" t="s">
        <v>296</v>
      </c>
      <c r="J28" s="137" t="n">
        <v>0.55</v>
      </c>
      <c r="K28" s="65"/>
      <c r="L28" s="138" t="n">
        <v>0.88</v>
      </c>
      <c r="M28" s="65"/>
      <c r="N28" s="65"/>
      <c r="O28" s="65"/>
      <c r="P28" s="65"/>
    </row>
    <row r="29" customFormat="false" ht="18.75" hidden="false" customHeight="true" outlineLevel="0" collapsed="false">
      <c r="D29" s="66"/>
      <c r="E29" s="66"/>
      <c r="F29" s="66"/>
      <c r="G29" s="66"/>
      <c r="H29" s="66" t="n">
        <v>2024</v>
      </c>
      <c r="I29" s="139" t="s">
        <v>296</v>
      </c>
      <c r="J29" s="140" t="n">
        <v>0.55</v>
      </c>
      <c r="K29" s="66"/>
      <c r="L29" s="66" t="n">
        <v>0.88</v>
      </c>
      <c r="M29" s="66"/>
      <c r="N29" s="66"/>
      <c r="O29" s="66"/>
      <c r="P29" s="66"/>
    </row>
    <row r="30" customFormat="false" ht="18.75" hidden="false" customHeight="true" outlineLevel="0" collapsed="false">
      <c r="B30" s="65"/>
      <c r="C30" s="65"/>
      <c r="D30" s="65"/>
      <c r="E30" s="65"/>
      <c r="F30" s="65"/>
      <c r="G30" s="65"/>
      <c r="H30" s="65" t="n">
        <v>2025</v>
      </c>
      <c r="I30" s="65" t="s">
        <v>296</v>
      </c>
      <c r="J30" s="137" t="n">
        <v>0.55</v>
      </c>
      <c r="K30" s="65"/>
      <c r="L30" s="65" t="n">
        <v>0.92</v>
      </c>
      <c r="M30" s="65"/>
      <c r="N30" s="65"/>
      <c r="O30" s="65"/>
      <c r="P30" s="65"/>
    </row>
    <row r="31" customFormat="false" ht="18.75" hidden="false" customHeight="true" outlineLevel="0" collapsed="false">
      <c r="D31" s="66"/>
      <c r="E31" s="66"/>
      <c r="F31" s="66"/>
      <c r="G31" s="66"/>
      <c r="H31" s="66" t="n">
        <v>2030</v>
      </c>
      <c r="I31" s="66"/>
      <c r="J31" s="140" t="n">
        <v>0.55</v>
      </c>
      <c r="K31" s="66"/>
      <c r="L31" s="66" t="n">
        <v>0.9</v>
      </c>
      <c r="M31" s="66"/>
      <c r="N31" s="66"/>
      <c r="O31" s="66"/>
      <c r="P31" s="66"/>
    </row>
    <row r="32" customFormat="false" ht="18.75" hidden="false" customHeight="true" outlineLevel="0" collapsed="false">
      <c r="B32" s="65"/>
      <c r="C32" s="65"/>
      <c r="D32" s="65"/>
      <c r="E32" s="65"/>
      <c r="F32" s="65"/>
      <c r="G32" s="65"/>
      <c r="H32" s="65" t="n">
        <v>2035</v>
      </c>
      <c r="I32" s="65"/>
      <c r="J32" s="137" t="n">
        <v>0.55</v>
      </c>
      <c r="K32" s="65"/>
      <c r="L32" s="65"/>
      <c r="M32" s="65"/>
      <c r="N32" s="65"/>
      <c r="O32" s="65"/>
      <c r="P32" s="65"/>
    </row>
    <row r="33" customFormat="false" ht="18.75" hidden="false" customHeight="true" outlineLevel="0" collapsed="false">
      <c r="D33" s="66"/>
      <c r="E33" s="66"/>
      <c r="F33" s="66"/>
      <c r="G33" s="66"/>
      <c r="H33" s="66" t="n">
        <v>2040</v>
      </c>
      <c r="I33" s="139"/>
      <c r="J33" s="140" t="n">
        <v>0</v>
      </c>
      <c r="K33" s="66"/>
      <c r="L33" s="66"/>
      <c r="M33" s="66"/>
      <c r="N33" s="66"/>
      <c r="O33" s="66"/>
      <c r="P33" s="66"/>
    </row>
    <row r="34" customFormat="false" ht="18.75" hidden="false" customHeight="true" outlineLevel="0" collapsed="false">
      <c r="B34" s="65"/>
      <c r="C34" s="65"/>
      <c r="D34" s="65"/>
      <c r="E34" s="65"/>
      <c r="F34" s="65"/>
      <c r="G34" s="65"/>
      <c r="H34" s="65" t="n">
        <v>2045</v>
      </c>
      <c r="I34" s="65"/>
      <c r="J34" s="137" t="n">
        <v>0</v>
      </c>
      <c r="K34" s="65"/>
      <c r="L34" s="65"/>
      <c r="M34" s="65"/>
      <c r="N34" s="65"/>
      <c r="O34" s="65"/>
      <c r="P34" s="65"/>
    </row>
    <row r="35" customFormat="false" ht="18.75" hidden="false" customHeight="true" outlineLevel="0" collapsed="false">
      <c r="B35" s="66"/>
      <c r="C35" s="66"/>
      <c r="D35" s="66"/>
      <c r="E35" s="66"/>
      <c r="F35" s="66"/>
      <c r="G35" s="66"/>
      <c r="H35" s="66" t="n">
        <v>2050</v>
      </c>
      <c r="I35" s="66"/>
      <c r="J35" s="140" t="n">
        <v>0</v>
      </c>
      <c r="K35" s="66"/>
      <c r="L35" s="66"/>
      <c r="M35" s="66"/>
      <c r="N35" s="66"/>
      <c r="O35" s="66"/>
      <c r="P35" s="66"/>
    </row>
    <row r="36" customFormat="false" ht="18.75" hidden="false" customHeight="true" outlineLevel="0" collapsed="false">
      <c r="B36" s="142"/>
      <c r="C36" s="142"/>
      <c r="D36" s="142"/>
      <c r="E36" s="142" t="str">
        <f aca="false">SEC_Comm!C13</f>
        <v>CO2</v>
      </c>
      <c r="F36" s="142"/>
      <c r="G36" s="142"/>
      <c r="H36" s="142"/>
      <c r="I36" s="142"/>
      <c r="J36" s="143"/>
      <c r="K36" s="142"/>
      <c r="L36" s="142"/>
      <c r="M36" s="142"/>
      <c r="N36" s="142"/>
      <c r="O36" s="142"/>
      <c r="P36" s="65"/>
    </row>
  </sheetData>
  <mergeCells count="1">
    <mergeCell ref="H6:N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45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0" activeCellId="0" sqref="A10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1.16"/>
    <col collapsed="false" customWidth="true" hidden="false" outlineLevel="0" max="3" min="3" style="1" width="34.42"/>
    <col collapsed="false" customWidth="true" hidden="false" outlineLevel="0" max="4" min="4" style="1" width="21.29"/>
    <col collapsed="false" customWidth="true" hidden="false" outlineLevel="0" max="5" min="5" style="1" width="18.71"/>
    <col collapsed="false" customWidth="true" hidden="false" outlineLevel="0" max="6" min="6" style="1" width="8.86"/>
    <col collapsed="false" customWidth="true" hidden="false" outlineLevel="0" max="7" min="7" style="1" width="23"/>
    <col collapsed="false" customWidth="true" hidden="false" outlineLevel="0" max="14" min="8" style="1" width="7.57"/>
    <col collapsed="false" customWidth="true" hidden="false" outlineLevel="0" max="15" min="15" style="1" width="14.14"/>
    <col collapsed="false" customWidth="true" hidden="false" outlineLevel="0" max="16" min="16" style="1" width="14"/>
    <col collapsed="false" customWidth="true" hidden="false" outlineLevel="0" max="17" min="17" style="1" width="15.42"/>
    <col collapsed="false" customWidth="true" hidden="false" outlineLevel="0" max="18" min="18" style="1" width="20"/>
    <col collapsed="false" customWidth="true" hidden="false" outlineLevel="0" max="19" min="19" style="1" width="11.43"/>
  </cols>
  <sheetData>
    <row r="2" customFormat="false" ht="18" hidden="false" customHeight="true" outlineLevel="0" collapsed="false">
      <c r="B2" s="105" t="s">
        <v>297</v>
      </c>
      <c r="C2" s="144"/>
      <c r="E2" s="106"/>
      <c r="H2" s="107"/>
      <c r="I2" s="107"/>
      <c r="J2" s="107"/>
      <c r="K2" s="107"/>
      <c r="L2" s="107"/>
      <c r="M2" s="107"/>
      <c r="N2" s="107"/>
      <c r="O2" s="107"/>
      <c r="P2" s="109"/>
      <c r="Q2" s="80"/>
      <c r="R2" s="81"/>
      <c r="S2" s="110"/>
    </row>
    <row r="3" customFormat="false" ht="12.75" hidden="false" customHeight="true" outlineLevel="0" collapsed="false">
      <c r="B3" s="21"/>
      <c r="C3" s="112"/>
      <c r="E3" s="106"/>
      <c r="H3" s="107"/>
      <c r="I3" s="107"/>
      <c r="J3" s="107"/>
      <c r="K3" s="107"/>
      <c r="L3" s="107"/>
      <c r="M3" s="107"/>
      <c r="N3" s="107"/>
      <c r="O3" s="107"/>
      <c r="P3" s="109"/>
      <c r="Q3" s="80"/>
      <c r="R3" s="81"/>
      <c r="S3" s="110"/>
    </row>
    <row r="4" customFormat="false" ht="15.75" hidden="false" customHeight="true" outlineLevel="0" collapsed="false">
      <c r="E4" s="79" t="s">
        <v>243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80"/>
      <c r="Q4" s="81"/>
      <c r="R4" s="81"/>
    </row>
    <row r="5" s="47" customFormat="true" ht="25.5" hidden="false" customHeight="true" outlineLevel="0" collapsed="false">
      <c r="B5" s="39" t="s">
        <v>157</v>
      </c>
      <c r="C5" s="39" t="s">
        <v>298</v>
      </c>
      <c r="D5" s="39" t="s">
        <v>245</v>
      </c>
      <c r="E5" s="39" t="s">
        <v>246</v>
      </c>
      <c r="F5" s="39" t="s">
        <v>248</v>
      </c>
      <c r="G5" s="39" t="s">
        <v>249</v>
      </c>
      <c r="H5" s="145" t="s">
        <v>277</v>
      </c>
      <c r="I5" s="145" t="s">
        <v>251</v>
      </c>
      <c r="J5" s="145" t="s">
        <v>252</v>
      </c>
      <c r="K5" s="145" t="s">
        <v>253</v>
      </c>
      <c r="L5" s="145" t="s">
        <v>254</v>
      </c>
      <c r="M5" s="145" t="s">
        <v>255</v>
      </c>
      <c r="N5" s="145" t="s">
        <v>256</v>
      </c>
      <c r="O5" s="39" t="s">
        <v>278</v>
      </c>
      <c r="P5" s="39" t="s">
        <v>257</v>
      </c>
      <c r="Q5" s="39" t="s">
        <v>258</v>
      </c>
      <c r="R5" s="39" t="s">
        <v>259</v>
      </c>
    </row>
    <row r="6" customFormat="false" ht="38.25" hidden="false" customHeight="true" outlineLevel="0" collapsed="false">
      <c r="B6" s="41" t="s">
        <v>260</v>
      </c>
      <c r="C6" s="41" t="s">
        <v>167</v>
      </c>
      <c r="D6" s="41" t="s">
        <v>261</v>
      </c>
      <c r="E6" s="41" t="s">
        <v>262</v>
      </c>
      <c r="F6" s="41" t="s">
        <v>49</v>
      </c>
      <c r="G6" s="41" t="s">
        <v>263</v>
      </c>
      <c r="H6" s="41" t="s">
        <v>285</v>
      </c>
      <c r="I6" s="41"/>
      <c r="J6" s="41"/>
      <c r="K6" s="41"/>
      <c r="L6" s="41"/>
      <c r="M6" s="41"/>
      <c r="N6" s="41"/>
      <c r="O6" s="41" t="s">
        <v>286</v>
      </c>
      <c r="P6" s="41" t="s">
        <v>287</v>
      </c>
      <c r="Q6" s="41" t="s">
        <v>288</v>
      </c>
      <c r="R6" s="41" t="s">
        <v>266</v>
      </c>
    </row>
    <row r="7" customFormat="false" ht="20.25" hidden="false" customHeight="true" outlineLevel="0" collapsed="false">
      <c r="B7" s="146" t="str">
        <f aca="false">SEC_Processes!D17</f>
        <v>ELE_EX_BIOMASS</v>
      </c>
      <c r="C7" s="147" t="s">
        <v>299</v>
      </c>
      <c r="D7" s="49" t="s">
        <v>126</v>
      </c>
      <c r="E7" s="146" t="str">
        <f aca="false">SEC_Comm!C7</f>
        <v>ELEC_HV</v>
      </c>
      <c r="F7" s="148" t="n">
        <v>1</v>
      </c>
      <c r="G7" s="148" t="n">
        <v>31.536</v>
      </c>
      <c r="H7" s="137" t="n">
        <v>0.1</v>
      </c>
      <c r="I7" s="137" t="n">
        <v>0.1</v>
      </c>
      <c r="J7" s="137" t="n">
        <v>0.1</v>
      </c>
      <c r="K7" s="137" t="n">
        <v>0.11</v>
      </c>
      <c r="L7" s="137" t="n">
        <v>0.11</v>
      </c>
      <c r="M7" s="137" t="n">
        <v>0.11</v>
      </c>
      <c r="N7" s="137" t="n">
        <v>0.11</v>
      </c>
      <c r="O7" s="149" t="n">
        <v>0.05</v>
      </c>
      <c r="P7" s="138" t="n">
        <v>1</v>
      </c>
      <c r="Q7" s="149" t="n">
        <v>100</v>
      </c>
      <c r="R7" s="138" t="n">
        <v>0.001</v>
      </c>
    </row>
    <row r="8" customFormat="false" ht="20.25" hidden="false" customHeight="true" outlineLevel="0" collapsed="false">
      <c r="B8" s="46" t="str">
        <f aca="false">SEC_Processes!D18</f>
        <v>ELE_EX_HIDRO</v>
      </c>
      <c r="C8" s="150" t="s">
        <v>300</v>
      </c>
      <c r="D8" s="37" t="s">
        <v>128</v>
      </c>
      <c r="E8" s="85" t="str">
        <f aca="false">SEC_Comm!C7</f>
        <v>ELEC_HV</v>
      </c>
      <c r="F8" s="151" t="n">
        <v>1</v>
      </c>
      <c r="G8" s="84" t="n">
        <v>31.536</v>
      </c>
      <c r="H8" s="151" t="n">
        <v>0.05</v>
      </c>
      <c r="I8" s="151" t="n">
        <v>0.05</v>
      </c>
      <c r="J8" s="151" t="n">
        <v>0.05</v>
      </c>
      <c r="K8" s="151" t="n">
        <v>0.05</v>
      </c>
      <c r="L8" s="151" t="n">
        <v>0.05</v>
      </c>
      <c r="M8" s="151" t="n">
        <v>0.05</v>
      </c>
      <c r="N8" s="151" t="n">
        <v>0.05</v>
      </c>
      <c r="O8" s="152" t="n">
        <v>0.05</v>
      </c>
      <c r="P8" s="152" t="n">
        <v>1</v>
      </c>
      <c r="Q8" s="152" t="n">
        <v>26</v>
      </c>
      <c r="R8" s="152" t="n">
        <v>0.001</v>
      </c>
    </row>
    <row r="9" customFormat="false" ht="20.25" hidden="false" customHeight="true" outlineLevel="0" collapsed="false">
      <c r="B9" s="65" t="str">
        <f aca="false">SEC_Processes!D19</f>
        <v>ELE_EX_HIDRO_RUN</v>
      </c>
      <c r="C9" s="147" t="s">
        <v>301</v>
      </c>
      <c r="D9" s="49" t="s">
        <v>130</v>
      </c>
      <c r="E9" s="77" t="str">
        <f aca="false">SEC_Comm!C7</f>
        <v>ELEC_HV</v>
      </c>
      <c r="F9" s="153" t="n">
        <v>1</v>
      </c>
      <c r="G9" s="77" t="n">
        <v>31.536</v>
      </c>
      <c r="H9" s="137" t="n">
        <v>0.1</v>
      </c>
      <c r="I9" s="137" t="n">
        <v>0.1</v>
      </c>
      <c r="J9" s="137" t="n">
        <v>0.1</v>
      </c>
      <c r="K9" s="137" t="n">
        <v>0.1</v>
      </c>
      <c r="L9" s="137" t="n">
        <v>0.1</v>
      </c>
      <c r="M9" s="137" t="n">
        <v>0.1</v>
      </c>
      <c r="N9" s="137" t="n">
        <v>0.1</v>
      </c>
      <c r="O9" s="138" t="n">
        <v>0.05</v>
      </c>
      <c r="P9" s="138" t="n">
        <v>1</v>
      </c>
      <c r="Q9" s="149" t="n">
        <v>74</v>
      </c>
      <c r="R9" s="138" t="n">
        <v>0.001</v>
      </c>
    </row>
    <row r="10" customFormat="false" ht="20.25" hidden="false" customHeight="true" outlineLevel="0" collapsed="false">
      <c r="B10" s="65" t="str">
        <f aca="false">SEC_Processes!D21</f>
        <v>ELE_EX_OTHER</v>
      </c>
      <c r="C10" s="74" t="s">
        <v>204</v>
      </c>
      <c r="D10" s="49" t="s">
        <v>143</v>
      </c>
      <c r="E10" s="77" t="str">
        <f aca="false">SEC_Comm!C7</f>
        <v>ELEC_HV</v>
      </c>
      <c r="F10" s="153" t="n">
        <v>1</v>
      </c>
      <c r="G10" s="77" t="n">
        <v>31.536</v>
      </c>
      <c r="H10" s="137" t="n">
        <v>0.1</v>
      </c>
      <c r="I10" s="137" t="n">
        <v>0.1</v>
      </c>
      <c r="J10" s="137" t="n">
        <v>0.1</v>
      </c>
      <c r="K10" s="137" t="n">
        <v>0.1</v>
      </c>
      <c r="L10" s="137" t="n">
        <v>0.1</v>
      </c>
      <c r="M10" s="137" t="n">
        <v>0.1</v>
      </c>
      <c r="N10" s="137" t="n">
        <v>0.1</v>
      </c>
      <c r="O10" s="138" t="n">
        <v>0.05</v>
      </c>
      <c r="P10" s="138" t="n">
        <v>1</v>
      </c>
      <c r="Q10" s="149" t="n">
        <v>50</v>
      </c>
      <c r="R10" s="138" t="n">
        <v>0</v>
      </c>
    </row>
    <row r="11" customFormat="false" ht="20.25" hidden="false" customHeight="true" outlineLevel="0" collapsed="false">
      <c r="B11" s="46" t="str">
        <f aca="false">SEC_Processes!D11</f>
        <v>ELE_EX_WIND-ON</v>
      </c>
      <c r="C11" s="85" t="str">
        <f aca="false">SEC_Processes!E11</f>
        <v>Existing Onshore Wind Turbines</v>
      </c>
      <c r="D11" s="53" t="s">
        <v>134</v>
      </c>
      <c r="E11" s="84" t="str">
        <f aca="false">SEC_Comm!C7</f>
        <v>ELEC_HV</v>
      </c>
      <c r="F11" s="151" t="n">
        <v>1</v>
      </c>
      <c r="G11" s="84" t="n">
        <v>31.536</v>
      </c>
      <c r="H11" s="154" t="n">
        <v>1.12</v>
      </c>
      <c r="I11" s="151" t="n">
        <v>1.22</v>
      </c>
      <c r="J11" s="151" t="n">
        <v>1.22</v>
      </c>
      <c r="K11" s="151" t="n">
        <v>1.22</v>
      </c>
      <c r="L11" s="151" t="n">
        <v>1.22</v>
      </c>
      <c r="M11" s="151" t="n">
        <v>1.22</v>
      </c>
      <c r="N11" s="151" t="n">
        <v>1.22</v>
      </c>
      <c r="O11" s="152" t="n">
        <v>0.05</v>
      </c>
      <c r="P11" s="152" t="n">
        <v>1</v>
      </c>
      <c r="Q11" s="152" t="n">
        <v>27</v>
      </c>
      <c r="R11" s="152" t="n">
        <v>0.001</v>
      </c>
    </row>
    <row r="12" customFormat="false" ht="20.25" hidden="false" customHeight="true" outlineLevel="0" collapsed="false">
      <c r="B12" s="76" t="str">
        <f aca="false">SEC_Processes!D12</f>
        <v>ELE_EX_AUTOPR_PV</v>
      </c>
      <c r="C12" s="91" t="str">
        <f aca="false">SEC_Processes!E12</f>
        <v>Existing autoproducer PV Elecrticity</v>
      </c>
      <c r="D12" s="49" t="s">
        <v>137</v>
      </c>
      <c r="E12" s="84" t="s">
        <v>93</v>
      </c>
      <c r="F12" s="153" t="n">
        <v>1</v>
      </c>
      <c r="G12" s="77" t="n">
        <v>31.536</v>
      </c>
      <c r="H12" s="155" t="n">
        <v>0.443</v>
      </c>
      <c r="I12" s="153" t="n">
        <v>0.665</v>
      </c>
      <c r="J12" s="153" t="n">
        <v>0.665</v>
      </c>
      <c r="K12" s="153" t="n">
        <v>0.665</v>
      </c>
      <c r="L12" s="153" t="n">
        <v>0.665</v>
      </c>
      <c r="M12" s="153" t="n">
        <v>0.665</v>
      </c>
      <c r="N12" s="153" t="n">
        <v>0.665</v>
      </c>
      <c r="O12" s="156" t="n">
        <v>0.05</v>
      </c>
      <c r="P12" s="156" t="n">
        <v>1</v>
      </c>
      <c r="Q12" s="156" t="n">
        <v>20</v>
      </c>
      <c r="R12" s="156" t="n">
        <v>0</v>
      </c>
    </row>
    <row r="13" customFormat="false" ht="20.25" hidden="false" customHeight="true" outlineLevel="0" collapsed="false">
      <c r="B13" s="46" t="str">
        <f aca="false">SEC_Processes!D13</f>
        <v>ELE_EX_AUTOPR_PV_RES</v>
      </c>
      <c r="C13" s="85" t="str">
        <f aca="false">SEC_Processes!E13</f>
        <v>Existing autoproducer residential PV Elecrticity</v>
      </c>
      <c r="D13" s="53" t="s">
        <v>137</v>
      </c>
      <c r="E13" s="84" t="s">
        <v>95</v>
      </c>
      <c r="F13" s="151" t="n">
        <v>1</v>
      </c>
      <c r="G13" s="84" t="n">
        <v>31.536</v>
      </c>
      <c r="H13" s="151" t="n">
        <v>0.167</v>
      </c>
      <c r="I13" s="151" t="n">
        <v>0.267</v>
      </c>
      <c r="J13" s="151" t="n">
        <v>0.267</v>
      </c>
      <c r="K13" s="151" t="n">
        <v>0.267</v>
      </c>
      <c r="L13" s="151" t="n">
        <v>0.267</v>
      </c>
      <c r="M13" s="151" t="n">
        <v>0.267</v>
      </c>
      <c r="N13" s="151" t="n">
        <v>0.267</v>
      </c>
      <c r="O13" s="152" t="n">
        <v>0.05</v>
      </c>
      <c r="P13" s="152" t="n">
        <v>1</v>
      </c>
      <c r="Q13" s="152" t="n">
        <v>28</v>
      </c>
      <c r="R13" s="152" t="n">
        <v>0</v>
      </c>
    </row>
    <row r="14" customFormat="false" ht="20.25" hidden="false" customHeight="true" outlineLevel="0" collapsed="false">
      <c r="B14" s="142" t="str">
        <f aca="false">SEC_Processes!D14</f>
        <v>ELE_EX_PV</v>
      </c>
      <c r="C14" s="115" t="str">
        <f aca="false">SEC_Processes!E14</f>
        <v>Existing Photovoltaics</v>
      </c>
      <c r="D14" s="157" t="s">
        <v>137</v>
      </c>
      <c r="E14" s="142" t="s">
        <v>93</v>
      </c>
      <c r="F14" s="143" t="n">
        <v>1</v>
      </c>
      <c r="G14" s="142" t="n">
        <v>31.536</v>
      </c>
      <c r="H14" s="158" t="n">
        <v>0.53</v>
      </c>
      <c r="I14" s="143" t="n">
        <v>0.53</v>
      </c>
      <c r="J14" s="143" t="n">
        <v>0.53</v>
      </c>
      <c r="K14" s="143" t="n">
        <v>0.53</v>
      </c>
      <c r="L14" s="143" t="n">
        <v>0.53</v>
      </c>
      <c r="M14" s="143" t="n">
        <v>0.53</v>
      </c>
      <c r="N14" s="143" t="n">
        <v>0.53</v>
      </c>
      <c r="O14" s="159" t="n">
        <v>0.05</v>
      </c>
      <c r="P14" s="159" t="n">
        <v>1</v>
      </c>
      <c r="Q14" s="159" t="n">
        <v>17</v>
      </c>
      <c r="R14" s="159" t="n">
        <v>0.001</v>
      </c>
    </row>
    <row r="16" customFormat="false" ht="12.75" hidden="false" customHeight="true" outlineLevel="0" collapsed="false">
      <c r="I16" s="160"/>
      <c r="J16" s="160"/>
    </row>
    <row r="17" customFormat="false" ht="12.75" hidden="false" customHeight="true" outlineLevel="0" collapsed="false">
      <c r="B17" s="31"/>
    </row>
    <row r="19" customFormat="false" ht="12.75" hidden="false" customHeight="true" outlineLevel="0" collapsed="false">
      <c r="I19" s="160"/>
    </row>
    <row r="21" customFormat="false" ht="12.75" hidden="false" customHeight="true" outlineLevel="0" collapsed="false">
      <c r="B21" s="38" t="s">
        <v>104</v>
      </c>
      <c r="C21" s="37"/>
      <c r="D21" s="37"/>
      <c r="E21" s="37"/>
      <c r="F21" s="37"/>
      <c r="G21" s="37"/>
      <c r="H21" s="37"/>
      <c r="I21" s="37"/>
    </row>
    <row r="22" customFormat="false" ht="12.75" hidden="false" customHeight="true" outlineLevel="0" collapsed="false">
      <c r="B22" s="39" t="s">
        <v>68</v>
      </c>
      <c r="C22" s="39" t="s">
        <v>69</v>
      </c>
      <c r="D22" s="39" t="s">
        <v>70</v>
      </c>
      <c r="E22" s="39" t="s">
        <v>60</v>
      </c>
      <c r="F22" s="39" t="s">
        <v>71</v>
      </c>
      <c r="G22" s="39" t="s">
        <v>72</v>
      </c>
      <c r="H22" s="39" t="s">
        <v>73</v>
      </c>
      <c r="I22" s="39" t="s">
        <v>74</v>
      </c>
    </row>
    <row r="23" customFormat="false" ht="63.75" hidden="false" customHeight="true" outlineLevel="0" collapsed="false">
      <c r="B23" s="41" t="s">
        <v>75</v>
      </c>
      <c r="C23" s="41" t="s">
        <v>76</v>
      </c>
      <c r="D23" s="41" t="s">
        <v>77</v>
      </c>
      <c r="E23" s="41" t="s">
        <v>60</v>
      </c>
      <c r="F23" s="41" t="s">
        <v>78</v>
      </c>
      <c r="G23" s="41" t="s">
        <v>79</v>
      </c>
      <c r="H23" s="41" t="s">
        <v>80</v>
      </c>
      <c r="I23" s="41" t="s">
        <v>81</v>
      </c>
    </row>
    <row r="24" customFormat="false" ht="12.75" hidden="false" customHeight="true" outlineLevel="0" collapsed="false">
      <c r="B24" s="48" t="s">
        <v>82</v>
      </c>
      <c r="C24" s="49" t="s">
        <v>105</v>
      </c>
      <c r="D24" s="48" t="s">
        <v>106</v>
      </c>
      <c r="E24" s="50" t="s">
        <v>85</v>
      </c>
      <c r="F24" s="51"/>
      <c r="G24" s="51"/>
      <c r="H24" s="51"/>
      <c r="I24" s="51"/>
    </row>
    <row r="25" customFormat="false" ht="12.75" hidden="false" customHeight="true" outlineLevel="0" collapsed="false">
      <c r="B25" s="52" t="s">
        <v>82</v>
      </c>
      <c r="C25" s="53" t="s">
        <v>107</v>
      </c>
      <c r="D25" s="52" t="s">
        <v>108</v>
      </c>
      <c r="E25" s="54" t="s">
        <v>85</v>
      </c>
      <c r="F25" s="55"/>
      <c r="G25" s="55"/>
      <c r="H25" s="55"/>
      <c r="I25" s="55"/>
    </row>
    <row r="26" customFormat="false" ht="12.75" hidden="false" customHeight="true" outlineLevel="0" collapsed="false">
      <c r="B26" s="48" t="s">
        <v>82</v>
      </c>
      <c r="C26" s="49" t="s">
        <v>109</v>
      </c>
      <c r="D26" s="48" t="s">
        <v>110</v>
      </c>
      <c r="E26" s="50" t="s">
        <v>85</v>
      </c>
      <c r="F26" s="51"/>
      <c r="G26" s="51"/>
      <c r="H26" s="51"/>
      <c r="I26" s="51"/>
    </row>
    <row r="27" customFormat="false" ht="12.75" hidden="false" customHeight="true" outlineLevel="0" collapsed="false">
      <c r="B27" s="56" t="s">
        <v>82</v>
      </c>
      <c r="C27" s="37" t="s">
        <v>111</v>
      </c>
      <c r="D27" s="56" t="s">
        <v>112</v>
      </c>
      <c r="E27" s="57" t="s">
        <v>85</v>
      </c>
      <c r="F27" s="58"/>
      <c r="G27" s="58"/>
      <c r="H27" s="58"/>
      <c r="I27" s="58"/>
    </row>
    <row r="28" customFormat="false" ht="12.75" hidden="false" customHeight="true" outlineLevel="0" collapsed="false">
      <c r="B28" s="48" t="s">
        <v>82</v>
      </c>
      <c r="C28" s="49" t="s">
        <v>113</v>
      </c>
      <c r="D28" s="48" t="s">
        <v>114</v>
      </c>
      <c r="E28" s="50" t="s">
        <v>85</v>
      </c>
      <c r="F28" s="51"/>
      <c r="G28" s="51"/>
      <c r="H28" s="51"/>
      <c r="I28" s="51"/>
    </row>
    <row r="29" customFormat="false" ht="12.75" hidden="false" customHeight="true" outlineLevel="0" collapsed="false">
      <c r="B29" s="56" t="s">
        <v>82</v>
      </c>
      <c r="C29" s="37" t="s">
        <v>115</v>
      </c>
      <c r="D29" s="56" t="s">
        <v>116</v>
      </c>
      <c r="E29" s="57" t="s">
        <v>85</v>
      </c>
      <c r="F29" s="58"/>
      <c r="G29" s="58"/>
      <c r="H29" s="58"/>
      <c r="I29" s="58"/>
    </row>
    <row r="30" customFormat="false" ht="12.75" hidden="false" customHeight="true" outlineLevel="0" collapsed="false">
      <c r="B30" s="48" t="s">
        <v>82</v>
      </c>
      <c r="C30" s="49" t="s">
        <v>117</v>
      </c>
      <c r="D30" s="49" t="s">
        <v>117</v>
      </c>
      <c r="E30" s="50" t="s">
        <v>85</v>
      </c>
      <c r="F30" s="51"/>
      <c r="G30" s="51"/>
      <c r="H30" s="51"/>
      <c r="I30" s="51"/>
    </row>
    <row r="31" customFormat="false" ht="12.75" hidden="false" customHeight="true" outlineLevel="0" collapsed="false">
      <c r="B31" s="56" t="s">
        <v>82</v>
      </c>
      <c r="C31" s="37" t="s">
        <v>118</v>
      </c>
      <c r="D31" s="37" t="s">
        <v>119</v>
      </c>
      <c r="E31" s="57" t="s">
        <v>85</v>
      </c>
      <c r="F31" s="58"/>
      <c r="G31" s="58"/>
      <c r="H31" s="58"/>
      <c r="I31" s="58"/>
    </row>
    <row r="32" customFormat="false" ht="12.75" hidden="false" customHeight="true" outlineLevel="0" collapsed="false">
      <c r="B32" s="48" t="s">
        <v>82</v>
      </c>
      <c r="C32" s="49" t="s">
        <v>120</v>
      </c>
      <c r="D32" s="49" t="s">
        <v>120</v>
      </c>
      <c r="E32" s="50" t="s">
        <v>85</v>
      </c>
      <c r="F32" s="51"/>
      <c r="G32" s="51"/>
      <c r="H32" s="51"/>
      <c r="I32" s="51"/>
    </row>
    <row r="33" customFormat="false" ht="12.75" hidden="false" customHeight="true" outlineLevel="0" collapsed="false">
      <c r="B33" s="56" t="s">
        <v>82</v>
      </c>
      <c r="C33" s="37" t="s">
        <v>121</v>
      </c>
      <c r="D33" s="37" t="s">
        <v>121</v>
      </c>
      <c r="E33" s="57" t="s">
        <v>85</v>
      </c>
      <c r="F33" s="58"/>
      <c r="G33" s="58"/>
      <c r="H33" s="58"/>
      <c r="I33" s="58"/>
    </row>
    <row r="34" customFormat="false" ht="12.75" hidden="false" customHeight="true" outlineLevel="0" collapsed="false">
      <c r="B34" s="48" t="s">
        <v>82</v>
      </c>
      <c r="C34" s="49" t="s">
        <v>122</v>
      </c>
      <c r="D34" s="49" t="s">
        <v>123</v>
      </c>
      <c r="E34" s="50" t="s">
        <v>85</v>
      </c>
      <c r="F34" s="51"/>
      <c r="G34" s="51"/>
      <c r="H34" s="51"/>
      <c r="I34" s="51"/>
    </row>
    <row r="35" customFormat="false" ht="12.75" hidden="false" customHeight="true" outlineLevel="0" collapsed="false">
      <c r="B35" s="56" t="s">
        <v>82</v>
      </c>
      <c r="C35" s="37" t="s">
        <v>124</v>
      </c>
      <c r="D35" s="56" t="s">
        <v>125</v>
      </c>
      <c r="E35" s="57" t="s">
        <v>85</v>
      </c>
      <c r="F35" s="58"/>
      <c r="G35" s="58"/>
      <c r="H35" s="58"/>
      <c r="I35" s="58"/>
    </row>
    <row r="36" customFormat="false" ht="12.75" hidden="false" customHeight="true" outlineLevel="0" collapsed="false">
      <c r="B36" s="48" t="s">
        <v>82</v>
      </c>
      <c r="C36" s="49" t="s">
        <v>126</v>
      </c>
      <c r="D36" s="48" t="s">
        <v>127</v>
      </c>
      <c r="E36" s="50" t="s">
        <v>85</v>
      </c>
      <c r="F36" s="51"/>
      <c r="G36" s="51"/>
      <c r="H36" s="51"/>
      <c r="I36" s="51"/>
    </row>
    <row r="37" customFormat="false" ht="12.75" hidden="false" customHeight="true" outlineLevel="0" collapsed="false">
      <c r="B37" s="56" t="s">
        <v>82</v>
      </c>
      <c r="C37" s="37" t="s">
        <v>128</v>
      </c>
      <c r="D37" s="56" t="s">
        <v>129</v>
      </c>
      <c r="E37" s="57" t="s">
        <v>85</v>
      </c>
      <c r="F37" s="58"/>
      <c r="G37" s="58"/>
      <c r="H37" s="58"/>
      <c r="I37" s="58"/>
    </row>
    <row r="38" customFormat="false" ht="12.75" hidden="false" customHeight="true" outlineLevel="0" collapsed="false">
      <c r="B38" s="48" t="s">
        <v>82</v>
      </c>
      <c r="C38" s="49" t="s">
        <v>130</v>
      </c>
      <c r="D38" s="48" t="s">
        <v>131</v>
      </c>
      <c r="E38" s="50" t="s">
        <v>85</v>
      </c>
      <c r="F38" s="51"/>
      <c r="G38" s="51"/>
      <c r="H38" s="51"/>
      <c r="I38" s="51"/>
    </row>
    <row r="39" customFormat="false" ht="12.75" hidden="false" customHeight="true" outlineLevel="0" collapsed="false">
      <c r="B39" s="52" t="s">
        <v>82</v>
      </c>
      <c r="C39" s="53" t="s">
        <v>132</v>
      </c>
      <c r="D39" s="52" t="s">
        <v>133</v>
      </c>
      <c r="E39" s="54" t="s">
        <v>85</v>
      </c>
      <c r="F39" s="55"/>
      <c r="G39" s="55"/>
      <c r="H39" s="55"/>
      <c r="I39" s="55"/>
    </row>
    <row r="40" customFormat="false" ht="12.75" hidden="false" customHeight="true" outlineLevel="0" collapsed="false">
      <c r="B40" s="48" t="s">
        <v>82</v>
      </c>
      <c r="C40" s="49" t="s">
        <v>134</v>
      </c>
      <c r="D40" s="48" t="s">
        <v>135</v>
      </c>
      <c r="E40" s="50" t="s">
        <v>85</v>
      </c>
      <c r="F40" s="51"/>
      <c r="G40" s="51"/>
      <c r="H40" s="51"/>
      <c r="I40" s="51"/>
    </row>
    <row r="41" customFormat="false" ht="12.75" hidden="false" customHeight="true" outlineLevel="0" collapsed="false">
      <c r="B41" s="52" t="s">
        <v>82</v>
      </c>
      <c r="C41" s="53" t="s">
        <v>136</v>
      </c>
      <c r="D41" s="52" t="s">
        <v>136</v>
      </c>
      <c r="E41" s="54" t="s">
        <v>85</v>
      </c>
      <c r="F41" s="55"/>
      <c r="G41" s="55"/>
      <c r="H41" s="55"/>
      <c r="I41" s="55"/>
    </row>
    <row r="42" customFormat="false" ht="12.75" hidden="false" customHeight="true" outlineLevel="0" collapsed="false">
      <c r="B42" s="48" t="s">
        <v>82</v>
      </c>
      <c r="C42" s="49" t="s">
        <v>137</v>
      </c>
      <c r="D42" s="48" t="s">
        <v>138</v>
      </c>
      <c r="E42" s="50" t="s">
        <v>85</v>
      </c>
      <c r="F42" s="51"/>
      <c r="G42" s="51"/>
      <c r="H42" s="51"/>
      <c r="I42" s="51"/>
    </row>
    <row r="43" customFormat="false" ht="12.75" hidden="false" customHeight="true" outlineLevel="0" collapsed="false">
      <c r="B43" s="52" t="s">
        <v>82</v>
      </c>
      <c r="C43" s="53" t="s">
        <v>139</v>
      </c>
      <c r="D43" s="52" t="s">
        <v>140</v>
      </c>
      <c r="E43" s="54" t="s">
        <v>85</v>
      </c>
      <c r="F43" s="55"/>
      <c r="G43" s="55"/>
      <c r="H43" s="55"/>
      <c r="I43" s="55"/>
    </row>
    <row r="44" customFormat="false" ht="12.75" hidden="false" customHeight="true" outlineLevel="0" collapsed="false">
      <c r="B44" s="48" t="s">
        <v>82</v>
      </c>
      <c r="C44" s="49" t="s">
        <v>141</v>
      </c>
      <c r="D44" s="48" t="s">
        <v>142</v>
      </c>
      <c r="E44" s="50" t="s">
        <v>85</v>
      </c>
      <c r="F44" s="51"/>
      <c r="G44" s="51"/>
      <c r="H44" s="51"/>
      <c r="I44" s="51"/>
    </row>
    <row r="45" customFormat="false" ht="13.5" hidden="false" customHeight="true" outlineLevel="0" collapsed="false">
      <c r="B45" s="59" t="s">
        <v>82</v>
      </c>
      <c r="C45" s="60" t="s">
        <v>143</v>
      </c>
      <c r="D45" s="59" t="s">
        <v>143</v>
      </c>
      <c r="E45" s="61" t="s">
        <v>85</v>
      </c>
      <c r="F45" s="62"/>
      <c r="G45" s="62"/>
      <c r="H45" s="62"/>
      <c r="I45" s="62"/>
    </row>
  </sheetData>
  <mergeCells count="1">
    <mergeCell ref="H6:N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4" activeCellId="0" sqref="O14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.57"/>
    <col collapsed="false" customWidth="true" hidden="false" outlineLevel="0" max="3" min="3" style="1" width="66"/>
    <col collapsed="false" customWidth="true" hidden="false" outlineLevel="0" max="4" min="4" style="1" width="19.42"/>
    <col collapsed="false" customWidth="true" hidden="false" outlineLevel="0" max="5" min="5" style="1" width="14.71"/>
    <col collapsed="false" customWidth="true" hidden="false" outlineLevel="0" max="8" min="6" style="1" width="13.57"/>
    <col collapsed="false" customWidth="true" hidden="false" outlineLevel="0" max="9" min="9" style="1" width="10"/>
    <col collapsed="false" customWidth="true" hidden="false" outlineLevel="0" max="10" min="10" style="1" width="19.71"/>
    <col collapsed="false" customWidth="true" hidden="false" outlineLevel="0" max="15" min="11" style="1" width="18.71"/>
    <col collapsed="false" customWidth="true" hidden="false" outlineLevel="0" max="16" min="16" style="1" width="12"/>
    <col collapsed="false" customWidth="true" hidden="false" outlineLevel="0" max="17" min="17" style="1" width="15"/>
    <col collapsed="false" customWidth="true" hidden="false" outlineLevel="0" max="18" min="18" style="1" width="20.85"/>
    <col collapsed="false" customWidth="true" hidden="false" outlineLevel="0" max="19" min="19" style="1" width="20.14"/>
    <col collapsed="false" customWidth="true" hidden="false" outlineLevel="0" max="23" min="20" style="1" width="20.85"/>
    <col collapsed="false" customWidth="true" hidden="false" outlineLevel="0" max="24" min="24" style="1" width="53.29"/>
  </cols>
  <sheetData>
    <row r="2" customFormat="false" ht="18" hidden="false" customHeight="true" outlineLevel="0" collapsed="false">
      <c r="B2" s="105" t="s">
        <v>302</v>
      </c>
      <c r="C2" s="144"/>
      <c r="E2" s="106"/>
      <c r="F2" s="106"/>
      <c r="G2" s="106"/>
      <c r="H2" s="106"/>
    </row>
    <row r="3" customFormat="false" ht="12.75" hidden="false" customHeight="true" outlineLevel="0" collapsed="false">
      <c r="B3" s="111"/>
      <c r="C3" s="112"/>
      <c r="E3" s="106"/>
      <c r="F3" s="106"/>
      <c r="G3" s="106"/>
      <c r="H3" s="106"/>
    </row>
    <row r="4" customFormat="false" ht="15.75" hidden="false" customHeight="true" outlineLevel="0" collapsed="false">
      <c r="E4" s="79" t="s">
        <v>243</v>
      </c>
      <c r="F4" s="79"/>
      <c r="G4" s="79"/>
      <c r="H4" s="79"/>
      <c r="I4" s="47"/>
      <c r="J4" s="47"/>
    </row>
    <row r="5" customFormat="false" ht="15.75" hidden="false" customHeight="true" outlineLevel="0" collapsed="false">
      <c r="B5" s="39" t="s">
        <v>157</v>
      </c>
      <c r="C5" s="39" t="s">
        <v>244</v>
      </c>
      <c r="D5" s="39" t="s">
        <v>245</v>
      </c>
      <c r="E5" s="39" t="s">
        <v>246</v>
      </c>
      <c r="F5" s="39" t="s">
        <v>248</v>
      </c>
      <c r="G5" s="39" t="s">
        <v>259</v>
      </c>
      <c r="H5" s="39" t="s">
        <v>303</v>
      </c>
      <c r="I5" s="39" t="s">
        <v>304</v>
      </c>
      <c r="J5" s="39" t="s">
        <v>305</v>
      </c>
      <c r="K5" s="39" t="s">
        <v>306</v>
      </c>
      <c r="L5" s="39" t="s">
        <v>307</v>
      </c>
      <c r="M5" s="39" t="s">
        <v>308</v>
      </c>
      <c r="N5" s="39" t="s">
        <v>309</v>
      </c>
      <c r="O5" s="39" t="s">
        <v>310</v>
      </c>
      <c r="P5" s="39" t="s">
        <v>252</v>
      </c>
      <c r="Q5" s="39" t="s">
        <v>253</v>
      </c>
      <c r="R5" s="39" t="s">
        <v>311</v>
      </c>
      <c r="S5" s="39" t="s">
        <v>312</v>
      </c>
      <c r="T5" s="39" t="s">
        <v>313</v>
      </c>
      <c r="U5" s="39" t="s">
        <v>314</v>
      </c>
      <c r="V5" s="39" t="s">
        <v>315</v>
      </c>
      <c r="W5" s="39" t="s">
        <v>316</v>
      </c>
      <c r="X5" s="39" t="s">
        <v>317</v>
      </c>
      <c r="Y5" s="1" t="s">
        <v>318</v>
      </c>
    </row>
    <row r="6" customFormat="false" ht="31.5" hidden="false" customHeight="true" outlineLevel="0" collapsed="false">
      <c r="B6" s="161" t="s">
        <v>260</v>
      </c>
      <c r="C6" s="161" t="s">
        <v>167</v>
      </c>
      <c r="D6" s="161" t="s">
        <v>261</v>
      </c>
      <c r="E6" s="161" t="s">
        <v>262</v>
      </c>
      <c r="F6" s="161" t="s">
        <v>49</v>
      </c>
      <c r="G6" s="161" t="s">
        <v>319</v>
      </c>
      <c r="H6" s="161" t="s">
        <v>175</v>
      </c>
      <c r="I6" s="161"/>
      <c r="J6" s="161"/>
      <c r="K6" s="161" t="s">
        <v>320</v>
      </c>
      <c r="L6" s="161" t="s">
        <v>320</v>
      </c>
      <c r="M6" s="161" t="s">
        <v>320</v>
      </c>
      <c r="N6" s="161" t="s">
        <v>320</v>
      </c>
      <c r="O6" s="161" t="s">
        <v>320</v>
      </c>
      <c r="P6" s="161"/>
      <c r="Q6" s="161"/>
      <c r="R6" s="161" t="s">
        <v>321</v>
      </c>
      <c r="S6" s="161" t="s">
        <v>322</v>
      </c>
      <c r="T6" s="161" t="s">
        <v>323</v>
      </c>
      <c r="U6" s="161" t="s">
        <v>324</v>
      </c>
      <c r="V6" s="161" t="s">
        <v>325</v>
      </c>
      <c r="W6" s="161" t="s">
        <v>326</v>
      </c>
      <c r="Y6" s="1" t="s">
        <v>327</v>
      </c>
    </row>
    <row r="7" customFormat="false" ht="18.75" hidden="false" customHeight="true" outlineLevel="0" collapsed="false">
      <c r="B7" s="162" t="str">
        <f aca="false">SEC_Processes!D24</f>
        <v>TRANSF_HV-MV</v>
      </c>
      <c r="C7" s="162" t="str">
        <f aca="false">SEC_Processes!E24</f>
        <v>Electricity Transformation and Distribution High Voltage to Medium Voltage</v>
      </c>
      <c r="D7" s="162" t="str">
        <f aca="false">SEC_Comm!C7</f>
        <v>ELEC_HV</v>
      </c>
      <c r="E7" s="162" t="str">
        <f aca="false">SEC_Comm!C10</f>
        <v>ELEC_MV_GRID</v>
      </c>
      <c r="F7" s="163" t="n">
        <v>0.94</v>
      </c>
      <c r="G7" s="1" t="n">
        <v>5.5</v>
      </c>
      <c r="H7" s="1" t="n">
        <v>1</v>
      </c>
      <c r="I7" s="1" t="n">
        <v>31.536</v>
      </c>
      <c r="J7" s="1" t="n">
        <v>30</v>
      </c>
      <c r="K7" s="1" t="n">
        <v>50</v>
      </c>
      <c r="L7" s="1" t="n">
        <v>50</v>
      </c>
      <c r="M7" s="1" t="n">
        <v>10</v>
      </c>
      <c r="N7" s="1" t="n">
        <v>10</v>
      </c>
      <c r="O7" s="1" t="n">
        <v>10</v>
      </c>
      <c r="P7" s="1" t="n">
        <v>1</v>
      </c>
      <c r="Q7" s="1" t="n">
        <v>1</v>
      </c>
      <c r="U7" s="1" t="n">
        <v>1</v>
      </c>
      <c r="V7" s="1" t="n">
        <v>1</v>
      </c>
      <c r="W7" s="1" t="n">
        <v>1</v>
      </c>
      <c r="X7" s="164" t="n">
        <f aca="false">1-F7</f>
        <v>0.0600000000000001</v>
      </c>
      <c r="Y7" s="1" t="n">
        <v>40</v>
      </c>
    </row>
    <row r="8" customFormat="false" ht="18.75" hidden="false" customHeight="true" outlineLevel="0" collapsed="false">
      <c r="B8" s="165" t="str">
        <f aca="false">SEC_Processes!D25</f>
        <v>TRANSF_MV-LV</v>
      </c>
      <c r="C8" s="165" t="str">
        <f aca="false">SEC_Processes!E25</f>
        <v>Electricity Transformation and Distribution Medium Voltage to Low Voltage</v>
      </c>
      <c r="D8" s="165" t="str">
        <f aca="false">SEC_Comm!C10</f>
        <v>ELEC_MV_GRID</v>
      </c>
      <c r="E8" s="76"/>
      <c r="F8" s="166" t="n">
        <v>0.91</v>
      </c>
      <c r="G8" s="76" t="n">
        <v>5.5</v>
      </c>
      <c r="H8" s="76" t="n">
        <v>1</v>
      </c>
      <c r="I8" s="76" t="n">
        <v>31.536</v>
      </c>
      <c r="J8" s="76" t="n">
        <v>30</v>
      </c>
      <c r="K8" s="76" t="n">
        <v>80</v>
      </c>
      <c r="L8" s="76" t="n">
        <v>70</v>
      </c>
      <c r="M8" s="76" t="n">
        <v>10</v>
      </c>
      <c r="N8" s="76" t="n">
        <v>10</v>
      </c>
      <c r="O8" s="76" t="n">
        <v>10</v>
      </c>
      <c r="P8" s="76" t="n">
        <v>1</v>
      </c>
      <c r="Q8" s="76" t="n">
        <v>1</v>
      </c>
      <c r="R8" s="76"/>
      <c r="S8" s="76"/>
      <c r="T8" s="76"/>
      <c r="U8" s="76" t="n">
        <v>1</v>
      </c>
      <c r="V8" s="76" t="n">
        <v>1</v>
      </c>
      <c r="W8" s="76" t="n">
        <v>1</v>
      </c>
      <c r="Y8" s="1" t="n">
        <v>40</v>
      </c>
    </row>
    <row r="9" customFormat="false" ht="18.75" hidden="false" customHeight="true" outlineLevel="0" collapsed="false">
      <c r="B9" s="162"/>
      <c r="C9" s="162"/>
      <c r="D9" s="162"/>
      <c r="E9" s="162" t="str">
        <f aca="false">SEC_Comm!C11</f>
        <v>ELEC_LV_GRID</v>
      </c>
      <c r="F9" s="163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</row>
    <row r="10" customFormat="false" ht="18.75" hidden="false" customHeight="true" outlineLevel="0" collapsed="false">
      <c r="B10" s="165" t="str">
        <f aca="false">SEC_Processes!D26</f>
        <v>DISTRIBU_LV</v>
      </c>
      <c r="C10" s="165" t="str">
        <f aca="false">SEC_Processes!E26</f>
        <v>Electricity distribution to Low Voltage</v>
      </c>
      <c r="D10" s="76" t="s">
        <v>95</v>
      </c>
      <c r="E10" s="76"/>
      <c r="F10" s="76" t="n">
        <v>0.89</v>
      </c>
      <c r="G10" s="76" t="n">
        <v>5.5</v>
      </c>
      <c r="H10" s="76" t="n">
        <v>1</v>
      </c>
      <c r="I10" s="76" t="n">
        <v>31.536</v>
      </c>
      <c r="J10" s="76" t="n">
        <v>30</v>
      </c>
      <c r="K10" s="76" t="n">
        <v>150</v>
      </c>
      <c r="L10" s="76" t="n">
        <v>150</v>
      </c>
      <c r="M10" s="76" t="n">
        <v>10</v>
      </c>
      <c r="N10" s="76" t="n">
        <v>10</v>
      </c>
      <c r="O10" s="76" t="n">
        <v>10</v>
      </c>
      <c r="P10" s="76" t="n">
        <v>1</v>
      </c>
      <c r="Q10" s="76" t="n">
        <v>1</v>
      </c>
      <c r="R10" s="76" t="n">
        <v>5</v>
      </c>
      <c r="S10" s="76" t="n">
        <v>4.2</v>
      </c>
      <c r="T10" s="76" t="n">
        <v>3.7</v>
      </c>
      <c r="U10" s="76" t="n">
        <v>1</v>
      </c>
      <c r="V10" s="76" t="n">
        <v>1</v>
      </c>
      <c r="W10" s="76" t="n">
        <v>1</v>
      </c>
      <c r="Y10" s="1" t="n">
        <v>40</v>
      </c>
    </row>
    <row r="11" customFormat="false" ht="18.75" hidden="false" customHeight="true" outlineLevel="0" collapsed="false">
      <c r="B11" s="162"/>
      <c r="C11" s="162"/>
      <c r="D11" s="46"/>
      <c r="E11" s="162" t="s">
        <v>97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</row>
    <row r="12" customFormat="false" ht="18.75" hidden="false" customHeight="true" outlineLevel="0" collapsed="false">
      <c r="B12" s="165" t="s">
        <v>218</v>
      </c>
      <c r="C12" s="165" t="str">
        <f aca="false">SEC_Processes!E27</f>
        <v>Reverse flow MV to HV</v>
      </c>
      <c r="D12" s="77" t="s">
        <v>93</v>
      </c>
      <c r="E12" s="77" t="s">
        <v>83</v>
      </c>
      <c r="F12" s="76" t="n">
        <v>0.98</v>
      </c>
      <c r="G12" s="76" t="n">
        <v>0.5</v>
      </c>
      <c r="H12" s="76" t="n">
        <v>1</v>
      </c>
      <c r="I12" s="76" t="n">
        <v>31.536</v>
      </c>
      <c r="J12" s="76" t="n">
        <v>30</v>
      </c>
      <c r="K12" s="76" t="n">
        <v>30</v>
      </c>
      <c r="L12" s="76" t="n">
        <v>30</v>
      </c>
      <c r="M12" s="76" t="n">
        <v>30</v>
      </c>
      <c r="N12" s="76" t="n">
        <v>30</v>
      </c>
      <c r="O12" s="76" t="n">
        <v>30</v>
      </c>
      <c r="P12" s="76"/>
      <c r="Q12" s="76"/>
      <c r="R12" s="76"/>
      <c r="S12" s="76"/>
      <c r="T12" s="76"/>
      <c r="U12" s="76"/>
      <c r="V12" s="76"/>
      <c r="W12" s="76"/>
      <c r="Y12" s="1" t="n">
        <v>40</v>
      </c>
    </row>
    <row r="13" customFormat="false" ht="18.75" hidden="false" customHeight="true" outlineLevel="0" collapsed="false">
      <c r="B13" s="162" t="s">
        <v>220</v>
      </c>
      <c r="C13" s="162" t="str">
        <f aca="false">SEC_Processes!E28</f>
        <v>Reverse flow LV to MV</v>
      </c>
      <c r="D13" s="162" t="s">
        <v>95</v>
      </c>
      <c r="E13" s="84" t="s">
        <v>93</v>
      </c>
      <c r="F13" s="162" t="n">
        <v>0.98</v>
      </c>
      <c r="G13" s="162" t="n">
        <v>0.5</v>
      </c>
      <c r="H13" s="162" t="n">
        <v>1</v>
      </c>
      <c r="I13" s="162" t="n">
        <v>31.536</v>
      </c>
      <c r="J13" s="162" t="n">
        <v>30</v>
      </c>
      <c r="K13" s="162" t="n">
        <v>30</v>
      </c>
      <c r="L13" s="162" t="n">
        <v>30</v>
      </c>
      <c r="M13" s="162" t="n">
        <v>30</v>
      </c>
      <c r="N13" s="162" t="n">
        <v>30</v>
      </c>
      <c r="O13" s="162" t="n">
        <v>30</v>
      </c>
      <c r="P13" s="162"/>
      <c r="Q13" s="162"/>
      <c r="R13" s="162"/>
      <c r="S13" s="162"/>
      <c r="T13" s="162"/>
      <c r="U13" s="162"/>
      <c r="V13" s="162"/>
      <c r="W13" s="162"/>
      <c r="Y13" s="1" t="n">
        <v>40</v>
      </c>
    </row>
    <row r="14" customFormat="false" ht="12.75" hidden="false" customHeight="true" outlineLevel="0" collapsed="false">
      <c r="E14" s="31"/>
      <c r="F14" s="31"/>
      <c r="G14" s="31"/>
      <c r="H14" s="31"/>
    </row>
    <row r="18" customFormat="false" ht="12.75" hidden="false" customHeight="true" outlineLevel="0" collapsed="false">
      <c r="F18" s="167"/>
      <c r="G18" s="167"/>
      <c r="H18" s="167"/>
    </row>
    <row r="19" customFormat="false" ht="12.75" hidden="false" customHeight="true" outlineLevel="0" collapsed="false">
      <c r="F19" s="167"/>
      <c r="G19" s="167"/>
      <c r="H19" s="167"/>
    </row>
    <row r="20" customFormat="false" ht="12.75" hidden="false" customHeight="true" outlineLevel="0" collapsed="false">
      <c r="F20" s="168"/>
      <c r="G20" s="168"/>
      <c r="H20" s="168"/>
    </row>
    <row r="28" customFormat="false" ht="12.75" hidden="false" customHeight="true" outlineLevel="0" collapsed="false">
      <c r="D28" s="1" t="n">
        <v>100</v>
      </c>
    </row>
    <row r="29" customFormat="false" ht="12.75" hidden="false" customHeight="true" outlineLevel="0" collapsed="false">
      <c r="D29" s="1" t="n">
        <f aca="false">D28/F7</f>
        <v>106.382978723404</v>
      </c>
    </row>
    <row r="30" customFormat="false" ht="12.75" hidden="false" customHeight="true" outlineLevel="0" collapsed="false">
      <c r="D30" s="1" t="n">
        <f aca="false">D29+G7</f>
        <v>111.882978723404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11.57"/>
    <col collapsed="false" customWidth="true" hidden="false" outlineLevel="0" max="3" min="3" style="1" width="16.84"/>
    <col collapsed="false" customWidth="true" hidden="false" outlineLevel="0" max="4" min="4" style="1" width="9.14"/>
    <col collapsed="false" customWidth="true" hidden="false" outlineLevel="0" max="5" min="5" style="1" width="11.14"/>
    <col collapsed="false" customWidth="true" hidden="false" outlineLevel="0" max="7" min="7" style="1" width="11.14"/>
    <col collapsed="false" customWidth="true" hidden="false" outlineLevel="0" max="8" min="8" style="1" width="12"/>
    <col collapsed="false" customWidth="true" hidden="false" outlineLevel="0" max="9" min="9" style="1" width="12.15"/>
    <col collapsed="false" customWidth="true" hidden="false" outlineLevel="0" max="10" min="10" style="1" width="11.85"/>
  </cols>
  <sheetData>
    <row r="2" customFormat="false" ht="18" hidden="false" customHeight="true" outlineLevel="0" collapsed="false">
      <c r="B2" s="169" t="s">
        <v>328</v>
      </c>
      <c r="C2" s="35"/>
      <c r="D2" s="35"/>
      <c r="E2" s="35"/>
      <c r="F2" s="35"/>
      <c r="G2" s="35"/>
      <c r="H2" s="35"/>
      <c r="I2" s="35"/>
      <c r="J2" s="35"/>
    </row>
    <row r="4" customFormat="false" ht="12.75" hidden="false" customHeight="true" outlineLevel="0" collapsed="false">
      <c r="E4" s="106" t="s">
        <v>243</v>
      </c>
      <c r="F4" s="106"/>
      <c r="G4" s="106"/>
      <c r="H4" s="106"/>
      <c r="I4" s="106"/>
      <c r="J4" s="106"/>
    </row>
    <row r="5" customFormat="false" ht="25.5" hidden="false" customHeight="true" outlineLevel="0" collapsed="false">
      <c r="B5" s="128" t="s">
        <v>157</v>
      </c>
      <c r="C5" s="128" t="s">
        <v>298</v>
      </c>
      <c r="D5" s="128" t="s">
        <v>245</v>
      </c>
      <c r="E5" s="128" t="s">
        <v>246</v>
      </c>
      <c r="F5" s="128" t="s">
        <v>257</v>
      </c>
      <c r="G5" s="170" t="s">
        <v>329</v>
      </c>
      <c r="H5" s="170" t="s">
        <v>330</v>
      </c>
      <c r="I5" s="170" t="s">
        <v>331</v>
      </c>
      <c r="J5" s="170" t="s">
        <v>332</v>
      </c>
      <c r="K5" s="128" t="s">
        <v>304</v>
      </c>
      <c r="L5" s="128" t="s">
        <v>333</v>
      </c>
      <c r="M5" s="128" t="s">
        <v>334</v>
      </c>
      <c r="N5" s="171" t="s">
        <v>335</v>
      </c>
      <c r="O5" s="171" t="s">
        <v>336</v>
      </c>
      <c r="P5" s="171" t="s">
        <v>337</v>
      </c>
      <c r="Q5" s="171" t="s">
        <v>338</v>
      </c>
      <c r="R5" s="171" t="s">
        <v>339</v>
      </c>
      <c r="S5" s="171" t="s">
        <v>340</v>
      </c>
      <c r="T5" s="171" t="s">
        <v>341</v>
      </c>
    </row>
    <row r="6" customFormat="false" ht="13.5" hidden="false" customHeight="true" outlineLevel="0" collapsed="false">
      <c r="B6" s="172" t="s">
        <v>102</v>
      </c>
      <c r="C6" s="172"/>
      <c r="D6" s="172"/>
      <c r="E6" s="172"/>
      <c r="F6" s="172"/>
      <c r="G6" s="172"/>
      <c r="H6" s="172"/>
      <c r="I6" s="172"/>
      <c r="J6" s="172"/>
      <c r="K6" s="172" t="s">
        <v>342</v>
      </c>
      <c r="L6" s="172" t="s">
        <v>343</v>
      </c>
      <c r="M6" s="172" t="s">
        <v>344</v>
      </c>
      <c r="N6" s="172"/>
      <c r="O6" s="172"/>
      <c r="P6" s="172"/>
      <c r="Q6" s="172"/>
      <c r="R6" s="172"/>
      <c r="S6" s="172"/>
      <c r="T6" s="172"/>
    </row>
    <row r="7" customFormat="false" ht="12.75" hidden="false" customHeight="true" outlineLevel="0" collapsed="false">
      <c r="B7" s="64" t="str">
        <f aca="false">SEC_Processes!D22</f>
        <v>IMP_ELC_HV</v>
      </c>
      <c r="C7" s="64" t="str">
        <f aca="false">SEC_Processes!E22</f>
        <v>Import of Electricity</v>
      </c>
      <c r="D7" s="64"/>
      <c r="E7" s="64" t="str">
        <f aca="false">SEC_Comm!C7</f>
        <v>ELEC_HV</v>
      </c>
      <c r="F7" s="64" t="n">
        <v>1</v>
      </c>
      <c r="G7" s="64" t="n">
        <v>0.5</v>
      </c>
      <c r="H7" s="64" t="n">
        <v>0.5</v>
      </c>
      <c r="I7" s="64" t="n">
        <v>1</v>
      </c>
      <c r="J7" s="64" t="n">
        <v>1</v>
      </c>
      <c r="K7" s="64" t="n">
        <v>31.536</v>
      </c>
      <c r="L7" s="136" t="n">
        <v>1</v>
      </c>
      <c r="M7" s="173" t="n">
        <v>35</v>
      </c>
      <c r="N7" s="64"/>
      <c r="O7" s="64"/>
      <c r="P7" s="64"/>
      <c r="Q7" s="64"/>
      <c r="R7" s="64"/>
      <c r="S7" s="64"/>
      <c r="T7" s="64"/>
    </row>
    <row r="8" customFormat="false" ht="13.5" hidden="false" customHeight="true" outlineLevel="0" collapsed="false"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</row>
    <row r="11" customFormat="false" ht="12.75" hidden="false" customHeight="true" outlineLevel="0" collapsed="false">
      <c r="G11" s="1" t="s">
        <v>345</v>
      </c>
      <c r="J11" s="1" t="n">
        <f aca="false">G7*K7</f>
        <v>15.768</v>
      </c>
      <c r="K11" s="1" t="s">
        <v>224</v>
      </c>
    </row>
    <row r="12" customFormat="false" ht="12.75" hidden="false" customHeight="true" outlineLevel="0" collapsed="false">
      <c r="J12" s="1" t="n">
        <f aca="false">J11/3.6</f>
        <v>4.38</v>
      </c>
      <c r="K12" s="1" t="s">
        <v>346</v>
      </c>
    </row>
    <row r="13" customFormat="false" ht="12.75" hidden="false" customHeight="true" outlineLevel="0" collapsed="false">
      <c r="G13" s="1" t="s">
        <v>347</v>
      </c>
      <c r="J13" s="1" t="n">
        <v>2</v>
      </c>
    </row>
    <row r="14" customFormat="false" ht="12.75" hidden="false" customHeight="true" outlineLevel="0" collapsed="false">
      <c r="G14" s="1" t="s">
        <v>348</v>
      </c>
      <c r="J14" s="1" t="n">
        <f aca="false">J13/J12</f>
        <v>0.45662100456621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U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1" activeCellId="0" sqref="Q21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15.42"/>
    <col collapsed="false" customWidth="true" hidden="false" outlineLevel="0" max="3" min="3" style="1" width="16.29"/>
    <col collapsed="false" customWidth="true" hidden="false" outlineLevel="0" max="4" min="4" style="1" width="17.15"/>
    <col collapsed="false" customWidth="true" hidden="false" outlineLevel="0" max="5" min="5" style="1" width="13.86"/>
    <col collapsed="false" customWidth="true" hidden="false" outlineLevel="0" max="7" min="7" style="1" width="16"/>
    <col collapsed="false" customWidth="true" hidden="false" outlineLevel="0" max="8" min="8" style="1" width="13.86"/>
    <col collapsed="false" customWidth="true" hidden="false" outlineLevel="0" max="10" min="9" style="1" width="12.15"/>
    <col collapsed="false" customWidth="true" hidden="false" outlineLevel="0" max="11" min="11" style="1" width="13"/>
    <col collapsed="false" customWidth="true" hidden="false" outlineLevel="0" max="12" min="12" style="1" width="11.29"/>
  </cols>
  <sheetData>
    <row r="4" customFormat="false" ht="12.75" hidden="false" customHeight="true" outlineLevel="0" collapsed="false">
      <c r="E4" s="106" t="s">
        <v>243</v>
      </c>
      <c r="F4" s="106"/>
      <c r="G4" s="106"/>
      <c r="H4" s="106"/>
      <c r="I4" s="106"/>
      <c r="J4" s="106"/>
      <c r="K4" s="106"/>
    </row>
    <row r="5" customFormat="false" ht="25.5" hidden="false" customHeight="true" outlineLevel="0" collapsed="false">
      <c r="B5" s="128" t="s">
        <v>157</v>
      </c>
      <c r="C5" s="128" t="s">
        <v>298</v>
      </c>
      <c r="D5" s="128" t="s">
        <v>245</v>
      </c>
      <c r="E5" s="128" t="s">
        <v>246</v>
      </c>
      <c r="F5" s="128" t="s">
        <v>257</v>
      </c>
      <c r="G5" s="170" t="s">
        <v>329</v>
      </c>
      <c r="H5" s="170" t="s">
        <v>330</v>
      </c>
      <c r="I5" s="170" t="s">
        <v>331</v>
      </c>
      <c r="J5" s="170" t="s">
        <v>349</v>
      </c>
      <c r="K5" s="170" t="s">
        <v>332</v>
      </c>
      <c r="L5" s="128" t="s">
        <v>304</v>
      </c>
      <c r="M5" s="128" t="s">
        <v>333</v>
      </c>
      <c r="N5" s="128" t="s">
        <v>334</v>
      </c>
      <c r="O5" s="171" t="s">
        <v>335</v>
      </c>
      <c r="P5" s="171" t="s">
        <v>336</v>
      </c>
      <c r="Q5" s="171" t="s">
        <v>337</v>
      </c>
      <c r="R5" s="171" t="s">
        <v>338</v>
      </c>
      <c r="S5" s="171" t="s">
        <v>339</v>
      </c>
      <c r="T5" s="171" t="s">
        <v>340</v>
      </c>
      <c r="U5" s="171" t="s">
        <v>341</v>
      </c>
    </row>
    <row r="6" customFormat="false" ht="13.5" hidden="false" customHeight="true" outlineLevel="0" collapsed="false">
      <c r="B6" s="172" t="s">
        <v>102</v>
      </c>
      <c r="C6" s="172"/>
      <c r="D6" s="172"/>
      <c r="E6" s="172"/>
      <c r="F6" s="172"/>
      <c r="G6" s="172" t="s">
        <v>175</v>
      </c>
      <c r="H6" s="172" t="s">
        <v>175</v>
      </c>
      <c r="I6" s="172" t="s">
        <v>175</v>
      </c>
      <c r="J6" s="172" t="s">
        <v>175</v>
      </c>
      <c r="K6" s="172" t="s">
        <v>175</v>
      </c>
      <c r="L6" s="172" t="s">
        <v>342</v>
      </c>
      <c r="M6" s="172" t="s">
        <v>343</v>
      </c>
      <c r="N6" s="172" t="s">
        <v>344</v>
      </c>
      <c r="O6" s="172" t="s">
        <v>85</v>
      </c>
      <c r="P6" s="172" t="s">
        <v>85</v>
      </c>
      <c r="Q6" s="172" t="s">
        <v>85</v>
      </c>
      <c r="R6" s="172" t="s">
        <v>85</v>
      </c>
      <c r="S6" s="172" t="s">
        <v>85</v>
      </c>
      <c r="T6" s="172" t="s">
        <v>85</v>
      </c>
      <c r="U6" s="172" t="s">
        <v>85</v>
      </c>
    </row>
    <row r="7" customFormat="false" ht="12.75" hidden="false" customHeight="true" outlineLevel="0" collapsed="false">
      <c r="B7" s="64" t="str">
        <f aca="false">SEC_Processes!D23</f>
        <v>EXP_ELC_HV</v>
      </c>
      <c r="C7" s="64" t="str">
        <f aca="false">SEC_Processes!E23</f>
        <v>Export of Electicity</v>
      </c>
      <c r="D7" s="64" t="str">
        <f aca="false">SEC_Comm!C7</f>
        <v>ELEC_HV</v>
      </c>
      <c r="E7" s="64"/>
      <c r="F7" s="64" t="n">
        <v>1</v>
      </c>
      <c r="G7" s="64" t="n">
        <v>1</v>
      </c>
      <c r="H7" s="64" t="n">
        <v>1</v>
      </c>
      <c r="I7" s="64" t="n">
        <v>1</v>
      </c>
      <c r="J7" s="64" t="n">
        <v>0</v>
      </c>
      <c r="K7" s="64" t="n">
        <v>0</v>
      </c>
      <c r="L7" s="64" t="n">
        <v>31.536</v>
      </c>
      <c r="M7" s="136" t="n">
        <v>1</v>
      </c>
      <c r="N7" s="173" t="n">
        <v>25</v>
      </c>
      <c r="O7" s="64" t="n">
        <v>14.04</v>
      </c>
      <c r="P7" s="64" t="n">
        <v>14.04</v>
      </c>
      <c r="Q7" s="64" t="n">
        <v>14.04</v>
      </c>
      <c r="R7" s="64" t="n">
        <v>0.4</v>
      </c>
      <c r="S7" s="64" t="n">
        <v>0.4</v>
      </c>
      <c r="T7" s="64" t="n">
        <v>0.4</v>
      </c>
      <c r="U7" s="64" t="n">
        <v>0.4</v>
      </c>
    </row>
    <row r="8" customFormat="false" ht="13.5" hidden="false" customHeight="true" outlineLevel="0" collapsed="false"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</row>
    <row r="15" customFormat="false" ht="12.75" hidden="false" customHeight="true" outlineLevel="0" collapsed="false">
      <c r="C15" s="1" t="s">
        <v>350</v>
      </c>
      <c r="D15" s="1" t="s">
        <v>85</v>
      </c>
      <c r="H15" s="1" t="s">
        <v>351</v>
      </c>
      <c r="I15" s="1" t="s">
        <v>85</v>
      </c>
    </row>
    <row r="16" customFormat="false" ht="12.75" hidden="false" customHeight="true" outlineLevel="0" collapsed="false">
      <c r="C16" s="1" t="n">
        <v>1</v>
      </c>
      <c r="D16" s="1" t="n">
        <v>3.6</v>
      </c>
    </row>
    <row r="17" customFormat="false" ht="12.75" hidden="false" customHeight="true" outlineLevel="0" collapsed="false">
      <c r="H17" s="1" t="n">
        <v>3.9</v>
      </c>
      <c r="I17" s="1" t="n">
        <f aca="false">H17*D16</f>
        <v>14.04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3" activeCellId="0" sqref="N13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39"/>
    <col collapsed="false" customWidth="true" hidden="false" outlineLevel="0" max="3" min="3" style="1" width="20.85"/>
  </cols>
  <sheetData>
    <row r="2" customFormat="false" ht="18" hidden="false" customHeight="true" outlineLevel="0" collapsed="false">
      <c r="B2" s="169" t="s">
        <v>328</v>
      </c>
      <c r="C2" s="35"/>
      <c r="D2" s="35"/>
      <c r="E2" s="35"/>
      <c r="F2" s="35"/>
    </row>
    <row r="4" customFormat="false" ht="12.75" hidden="false" customHeight="true" outlineLevel="0" collapsed="false">
      <c r="E4" s="106" t="s">
        <v>243</v>
      </c>
    </row>
    <row r="5" customFormat="false" ht="38.25" hidden="false" customHeight="true" outlineLevel="0" collapsed="false">
      <c r="B5" s="128" t="s">
        <v>157</v>
      </c>
      <c r="C5" s="128" t="s">
        <v>298</v>
      </c>
      <c r="D5" s="128" t="s">
        <v>245</v>
      </c>
      <c r="E5" s="128" t="s">
        <v>246</v>
      </c>
      <c r="F5" s="170" t="s">
        <v>352</v>
      </c>
      <c r="G5" s="174" t="s">
        <v>353</v>
      </c>
      <c r="H5" s="170" t="s">
        <v>354</v>
      </c>
      <c r="I5" s="170" t="s">
        <v>330</v>
      </c>
      <c r="J5" s="170" t="s">
        <v>331</v>
      </c>
      <c r="K5" s="170" t="s">
        <v>355</v>
      </c>
      <c r="L5" s="170" t="s">
        <v>349</v>
      </c>
      <c r="M5" s="170" t="s">
        <v>356</v>
      </c>
      <c r="N5" s="170" t="s">
        <v>332</v>
      </c>
      <c r="O5" s="128" t="s">
        <v>304</v>
      </c>
      <c r="P5" s="128" t="s">
        <v>333</v>
      </c>
      <c r="Q5" s="128" t="s">
        <v>318</v>
      </c>
      <c r="R5" s="128" t="s">
        <v>258</v>
      </c>
      <c r="S5" s="128" t="s">
        <v>259</v>
      </c>
      <c r="T5" s="171" t="s">
        <v>357</v>
      </c>
      <c r="U5" s="171" t="s">
        <v>358</v>
      </c>
    </row>
    <row r="6" customFormat="false" ht="13.5" hidden="false" customHeight="true" outlineLevel="0" collapsed="false">
      <c r="B6" s="172" t="s">
        <v>102</v>
      </c>
      <c r="C6" s="172"/>
      <c r="D6" s="172"/>
      <c r="E6" s="172"/>
      <c r="F6" s="172"/>
      <c r="G6" s="172" t="s">
        <v>343</v>
      </c>
      <c r="H6" s="172" t="s">
        <v>175</v>
      </c>
      <c r="I6" s="172" t="s">
        <v>175</v>
      </c>
      <c r="J6" s="172" t="s">
        <v>175</v>
      </c>
      <c r="K6" s="172" t="s">
        <v>175</v>
      </c>
      <c r="L6" s="172" t="s">
        <v>175</v>
      </c>
      <c r="M6" s="172" t="s">
        <v>175</v>
      </c>
      <c r="N6" s="172" t="s">
        <v>175</v>
      </c>
      <c r="O6" s="172" t="s">
        <v>342</v>
      </c>
      <c r="P6" s="172" t="s">
        <v>343</v>
      </c>
      <c r="Q6" s="172" t="s">
        <v>359</v>
      </c>
      <c r="R6" s="172" t="s">
        <v>360</v>
      </c>
      <c r="S6" s="172" t="s">
        <v>361</v>
      </c>
      <c r="T6" s="172"/>
      <c r="U6" s="172"/>
    </row>
    <row r="7" customFormat="false" ht="12.75" hidden="false" customHeight="true" outlineLevel="0" collapsed="false">
      <c r="B7" s="64" t="str">
        <f aca="false">SEC_Processes!D20</f>
        <v>ELE_EX_HIDRO_STORAGE_PUMP</v>
      </c>
      <c r="C7" s="64" t="s">
        <v>362</v>
      </c>
      <c r="D7" s="64" t="s">
        <v>83</v>
      </c>
      <c r="E7" s="64" t="s">
        <v>83</v>
      </c>
      <c r="F7" s="64"/>
      <c r="G7" s="135" t="n">
        <v>0.7</v>
      </c>
      <c r="H7" s="64" t="n">
        <v>0.2</v>
      </c>
      <c r="I7" s="64" t="n">
        <v>0.2</v>
      </c>
      <c r="J7" s="64" t="n">
        <v>0.3</v>
      </c>
      <c r="K7" s="64" t="n">
        <v>0.3</v>
      </c>
      <c r="L7" s="64" t="n">
        <v>0.3</v>
      </c>
      <c r="M7" s="64" t="n">
        <v>0.3</v>
      </c>
      <c r="N7" s="64" t="n">
        <v>0.3</v>
      </c>
      <c r="O7" s="64" t="n">
        <v>31.536</v>
      </c>
      <c r="P7" s="136" t="n">
        <v>1</v>
      </c>
      <c r="Q7" s="64" t="n">
        <v>25</v>
      </c>
      <c r="R7" s="64" t="n">
        <v>15</v>
      </c>
      <c r="S7" s="64" t="n">
        <v>0.001</v>
      </c>
      <c r="T7" s="64" t="s">
        <v>82</v>
      </c>
      <c r="U7" s="64" t="n">
        <v>1</v>
      </c>
    </row>
    <row r="8" customFormat="false" ht="13.5" hidden="false" customHeight="true" outlineLevel="0" collapsed="false"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 t="s">
        <v>363</v>
      </c>
      <c r="U8" s="142" t="n">
        <v>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G10" activeCellId="0" sqref="G10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.14"/>
    <col collapsed="false" customWidth="true" hidden="false" outlineLevel="0" max="3" min="3" style="1" width="14"/>
    <col collapsed="false" customWidth="true" hidden="false" outlineLevel="0" max="4" min="4" style="1" width="11.29"/>
    <col collapsed="false" customWidth="true" hidden="false" outlineLevel="0" max="7" min="7" style="1" width="12.15"/>
  </cols>
  <sheetData>
    <row r="2" customFormat="false" ht="15" hidden="false" customHeight="true" outlineLevel="0" collapsed="false">
      <c r="B2" s="2" t="s">
        <v>364</v>
      </c>
      <c r="C2" s="175"/>
      <c r="D2" s="175"/>
      <c r="E2" s="175"/>
      <c r="F2" s="175"/>
      <c r="G2" s="175"/>
      <c r="H2" s="175"/>
      <c r="I2" s="175"/>
    </row>
    <row r="3" customFormat="false" ht="12.75" hidden="false" customHeight="true" outlineLevel="0" collapsed="false">
      <c r="B3" s="176"/>
      <c r="C3" s="176"/>
      <c r="D3" s="176"/>
      <c r="E3" s="176"/>
      <c r="F3" s="176"/>
      <c r="G3" s="176"/>
      <c r="H3" s="177"/>
      <c r="I3" s="177"/>
    </row>
    <row r="4" customFormat="false" ht="15.75" hidden="false" customHeight="true" outlineLevel="0" collapsed="false">
      <c r="B4" s="178"/>
      <c r="C4" s="79" t="s">
        <v>365</v>
      </c>
      <c r="D4" s="177"/>
      <c r="E4" s="177"/>
      <c r="F4" s="177"/>
      <c r="G4" s="177"/>
    </row>
    <row r="5" customFormat="false" ht="15.75" hidden="false" customHeight="true" outlineLevel="0" collapsed="false">
      <c r="B5" s="39" t="s">
        <v>157</v>
      </c>
      <c r="C5" s="39" t="s">
        <v>69</v>
      </c>
      <c r="D5" s="39" t="s">
        <v>105</v>
      </c>
      <c r="E5" s="39" t="s">
        <v>109</v>
      </c>
      <c r="F5" s="39" t="s">
        <v>124</v>
      </c>
      <c r="G5" s="39" t="s">
        <v>107</v>
      </c>
      <c r="I5" s="179" t="s">
        <v>366</v>
      </c>
    </row>
    <row r="6" customFormat="false" ht="38.25" hidden="false" customHeight="true" outlineLevel="0" collapsed="false">
      <c r="B6" s="180" t="s">
        <v>260</v>
      </c>
      <c r="C6" s="180" t="s">
        <v>367</v>
      </c>
      <c r="D6" s="180" t="s">
        <v>368</v>
      </c>
      <c r="E6" s="180"/>
      <c r="F6" s="180"/>
      <c r="G6" s="180"/>
    </row>
    <row r="7" customFormat="false" ht="15.75" hidden="false" customHeight="true" outlineLevel="0" collapsed="false">
      <c r="B7" s="181" t="str">
        <f aca="false">SEC_Processes!D15</f>
        <v>ELE_EX_HC</v>
      </c>
      <c r="C7" s="182" t="s">
        <v>100</v>
      </c>
      <c r="D7" s="183" t="n">
        <v>96</v>
      </c>
      <c r="E7" s="184"/>
      <c r="F7" s="184"/>
      <c r="G7" s="184"/>
    </row>
    <row r="8" customFormat="false" ht="15.75" hidden="false" customHeight="true" outlineLevel="0" collapsed="false">
      <c r="B8" s="185" t="str">
        <f aca="false">SEC_Processes!D16</f>
        <v>ELE_EX_OILGAS</v>
      </c>
      <c r="C8" s="182" t="s">
        <v>100</v>
      </c>
      <c r="D8" s="186"/>
      <c r="E8" s="186" t="n">
        <v>112</v>
      </c>
      <c r="F8" s="186"/>
      <c r="G8" s="186"/>
    </row>
    <row r="9" customFormat="false" ht="15.75" hidden="false" customHeight="true" outlineLevel="0" collapsed="false">
      <c r="B9" s="187" t="str">
        <f aca="false">SEC_Processes!D29</f>
        <v>REFINARY</v>
      </c>
      <c r="C9" s="188" t="s">
        <v>100</v>
      </c>
      <c r="D9" s="189"/>
      <c r="E9" s="189"/>
      <c r="F9" s="189"/>
      <c r="G9" s="190" t="n">
        <v>8.3</v>
      </c>
    </row>
    <row r="10" customFormat="false" ht="15.75" hidden="false" customHeight="true" outlineLevel="0" collapsed="false"/>
    <row r="11" customFormat="false" ht="15.75" hidden="false" customHeight="true" outlineLevel="0" collapsed="false"/>
  </sheetData>
  <mergeCells count="1">
    <mergeCell ref="D6:G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8.6796875" defaultRowHeight="12.75" zeroHeight="false" outlineLevelRow="0" outlineLevelCol="0"/>
  <sheetData>
    <row r="2" customFormat="false" ht="12.75" hidden="false" customHeight="true" outlineLevel="0" collapsed="false">
      <c r="C2" s="1" t="s">
        <v>369</v>
      </c>
    </row>
    <row r="4" customFormat="false" ht="12.75" hidden="false" customHeight="true" outlineLevel="0" collapsed="false">
      <c r="B4" s="79" t="s">
        <v>370</v>
      </c>
    </row>
    <row r="5" customFormat="false" ht="12.75" hidden="false" customHeight="true" outlineLevel="0" collapsed="false">
      <c r="B5" s="39" t="s">
        <v>371</v>
      </c>
      <c r="C5" s="39" t="s">
        <v>71</v>
      </c>
      <c r="D5" s="39" t="s">
        <v>372</v>
      </c>
      <c r="E5" s="39" t="s">
        <v>291</v>
      </c>
      <c r="F5" s="39" t="s">
        <v>373</v>
      </c>
      <c r="G5" s="39" t="s">
        <v>374</v>
      </c>
      <c r="H5" s="39" t="s">
        <v>375</v>
      </c>
      <c r="I5" s="39" t="s">
        <v>376</v>
      </c>
      <c r="J5" s="39" t="s">
        <v>377</v>
      </c>
      <c r="K5" s="39" t="s">
        <v>378</v>
      </c>
      <c r="L5" s="39" t="s">
        <v>379</v>
      </c>
      <c r="M5" s="39" t="s">
        <v>380</v>
      </c>
      <c r="N5" s="39" t="s">
        <v>381</v>
      </c>
      <c r="O5" s="39" t="s">
        <v>382</v>
      </c>
    </row>
    <row r="6" customFormat="false" ht="12.75" hidden="false" customHeight="true" outlineLevel="0" collapsed="false">
      <c r="B6" s="191"/>
      <c r="C6" s="192" t="s">
        <v>383</v>
      </c>
      <c r="D6" s="193" t="s">
        <v>384</v>
      </c>
      <c r="E6" s="194"/>
      <c r="F6" s="194" t="n">
        <v>2</v>
      </c>
      <c r="G6" s="194"/>
      <c r="H6" s="191"/>
      <c r="I6" s="192" t="s">
        <v>385</v>
      </c>
      <c r="J6" s="193"/>
      <c r="K6" s="194"/>
      <c r="L6" s="194"/>
      <c r="M6" s="194"/>
      <c r="N6" s="191"/>
      <c r="O6" s="19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2000-12-13T15:53:11Z</dcterms:created>
  <dc:creator>Amit Kanudia</dc:creator>
  <dc:description/>
  <dc:language>en-US</dc:language>
  <cp:lastModifiedBy>Pier Luca Maria Buonomo</cp:lastModifiedBy>
  <dcterms:modified xsi:type="dcterms:W3CDTF">2026-10-09T08:26:45Z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